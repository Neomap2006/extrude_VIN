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 Aspire\Documents\Folder Backup INUL\Tugas Kuliah Anas\SEMESTER 7\MASTERLIST\Perintilan\"/>
    </mc:Choice>
  </mc:AlternateContent>
  <xr:revisionPtr revIDLastSave="0" documentId="8_{065D68E7-C762-44B1-A670-FFB71462EE58}" xr6:coauthVersionLast="47" xr6:coauthVersionMax="47" xr10:uidLastSave="{00000000-0000-0000-0000-000000000000}"/>
  <bookViews>
    <workbookView xWindow="-108" yWindow="-108" windowWidth="23256" windowHeight="12456" xr2:uid="{4EB820C3-1C8F-4530-94A7-66F401338DDF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6" i="1" l="1"/>
  <c r="D75" i="1"/>
  <c r="D74" i="1"/>
  <c r="D73" i="1"/>
  <c r="D72" i="1"/>
  <c r="D71" i="1"/>
  <c r="D64" i="1"/>
  <c r="D53" i="1"/>
  <c r="D52" i="1"/>
  <c r="D51" i="1"/>
  <c r="D50" i="1"/>
  <c r="D49" i="1"/>
  <c r="D46" i="1"/>
  <c r="D32" i="1"/>
  <c r="D29" i="1"/>
  <c r="D28" i="1"/>
  <c r="D15" i="1"/>
  <c r="D14" i="1"/>
  <c r="D13" i="1"/>
  <c r="D5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C326" i="1"/>
  <c r="B326" i="1"/>
  <c r="C325" i="1"/>
  <c r="B325" i="1"/>
  <c r="C324" i="1"/>
  <c r="B324" i="1"/>
  <c r="C323" i="1"/>
  <c r="B323" i="1"/>
  <c r="C322" i="1"/>
  <c r="B322" i="1"/>
  <c r="C321" i="1"/>
  <c r="B321" i="1"/>
  <c r="C320" i="1"/>
  <c r="B320" i="1"/>
  <c r="C319" i="1"/>
  <c r="B319" i="1"/>
  <c r="C318" i="1"/>
  <c r="B318" i="1"/>
  <c r="C317" i="1"/>
  <c r="B317" i="1"/>
  <c r="C316" i="1"/>
  <c r="B316" i="1"/>
  <c r="C315" i="1"/>
  <c r="B315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71" i="1"/>
  <c r="B71" i="1"/>
  <c r="C64" i="1"/>
  <c r="B64" i="1"/>
  <c r="C50" i="1"/>
  <c r="B50" i="1"/>
  <c r="C49" i="1"/>
  <c r="B49" i="1"/>
  <c r="C46" i="1"/>
  <c r="B46" i="1"/>
  <c r="C5" i="1"/>
  <c r="B5" i="1"/>
</calcChain>
</file>

<file path=xl/sharedStrings.xml><?xml version="1.0" encoding="utf-8"?>
<sst xmlns="http://schemas.openxmlformats.org/spreadsheetml/2006/main" count="846" uniqueCount="471">
  <si>
    <t>Item</t>
  </si>
  <si>
    <t>TA1080</t>
  </si>
  <si>
    <t>TA0320</t>
  </si>
  <si>
    <t>NA3270</t>
  </si>
  <si>
    <t>TA1760</t>
  </si>
  <si>
    <t>TA0390</t>
  </si>
  <si>
    <t>TA1120</t>
  </si>
  <si>
    <t>TA1160</t>
  </si>
  <si>
    <t>TA1200</t>
  </si>
  <si>
    <t>TA3020</t>
  </si>
  <si>
    <t>HN0270</t>
  </si>
  <si>
    <t>HN0280</t>
  </si>
  <si>
    <t>HN0290</t>
  </si>
  <si>
    <t>HN0400</t>
  </si>
  <si>
    <t>NA2033</t>
  </si>
  <si>
    <t>TA1230</t>
  </si>
  <si>
    <t>TA1750</t>
  </si>
  <si>
    <t>NA1661</t>
  </si>
  <si>
    <t>NA1662</t>
  </si>
  <si>
    <t>NA1671</t>
  </si>
  <si>
    <t>NA1672</t>
  </si>
  <si>
    <t>NA1821</t>
  </si>
  <si>
    <t>NA1822</t>
  </si>
  <si>
    <t>NA1270</t>
  </si>
  <si>
    <t>NA1280</t>
  </si>
  <si>
    <t>NA1360</t>
  </si>
  <si>
    <t>NA1370</t>
  </si>
  <si>
    <t>NA1801</t>
  </si>
  <si>
    <t>NA1802</t>
  </si>
  <si>
    <t>TA1400</t>
  </si>
  <si>
    <t>TA1530</t>
  </si>
  <si>
    <t>TA1840</t>
  </si>
  <si>
    <t>TA1710</t>
  </si>
  <si>
    <t>TA1520</t>
  </si>
  <si>
    <t>TA2510</t>
  </si>
  <si>
    <t>TA2500</t>
  </si>
  <si>
    <t>NA2820</t>
  </si>
  <si>
    <t>NA1560</t>
  </si>
  <si>
    <t>NA2662</t>
  </si>
  <si>
    <t>NA1690</t>
  </si>
  <si>
    <t>NA1630</t>
  </si>
  <si>
    <t>TA0590</t>
  </si>
  <si>
    <t>TA1860</t>
  </si>
  <si>
    <t>TA166B</t>
  </si>
  <si>
    <t>TA2990</t>
  </si>
  <si>
    <t>TA3030</t>
  </si>
  <si>
    <t>MS0800</t>
  </si>
  <si>
    <t>MS0090</t>
  </si>
  <si>
    <t>MS0100</t>
  </si>
  <si>
    <t>MS0110</t>
  </si>
  <si>
    <t>MS0120</t>
  </si>
  <si>
    <t>TA0640</t>
  </si>
  <si>
    <t>TA0630</t>
  </si>
  <si>
    <t>TA0580</t>
  </si>
  <si>
    <t>TA1700</t>
  </si>
  <si>
    <t>TA1970</t>
  </si>
  <si>
    <t>FM1450</t>
  </si>
  <si>
    <t>FM1940</t>
  </si>
  <si>
    <t>NA3311</t>
  </si>
  <si>
    <t>NA3312</t>
  </si>
  <si>
    <t>NA1600</t>
  </si>
  <si>
    <t>NA1680</t>
  </si>
  <si>
    <t>NA2780</t>
  </si>
  <si>
    <t>NA1410</t>
  </si>
  <si>
    <t>PM1460</t>
  </si>
  <si>
    <t>NA3220</t>
  </si>
  <si>
    <t>NA3230</t>
  </si>
  <si>
    <t>NA3240</t>
  </si>
  <si>
    <t>NA3250</t>
  </si>
  <si>
    <t>NA3260</t>
  </si>
  <si>
    <t>NA2140</t>
  </si>
  <si>
    <t>NA1650</t>
  </si>
  <si>
    <t>NA2110</t>
  </si>
  <si>
    <t>NA2040</t>
  </si>
  <si>
    <t>NA2050</t>
  </si>
  <si>
    <t>TA1180</t>
  </si>
  <si>
    <t>TA1220</t>
  </si>
  <si>
    <t>TA1060</t>
  </si>
  <si>
    <t>TA1140</t>
  </si>
  <si>
    <t>NA1640</t>
  </si>
  <si>
    <t>NA1580</t>
  </si>
  <si>
    <t>NA1610</t>
  </si>
  <si>
    <t>NA2900</t>
  </si>
  <si>
    <t>NA2910</t>
  </si>
  <si>
    <t>TA0570</t>
  </si>
  <si>
    <t>NA1570</t>
  </si>
  <si>
    <t>TA1820</t>
  </si>
  <si>
    <t>TA2040</t>
  </si>
  <si>
    <t>TA3040</t>
  </si>
  <si>
    <t>PM1350</t>
  </si>
  <si>
    <t>NA2060</t>
  </si>
  <si>
    <t>NA2120</t>
  </si>
  <si>
    <t>NA2661</t>
  </si>
  <si>
    <t>MS0240</t>
  </si>
  <si>
    <t>PM1060</t>
  </si>
  <si>
    <t>PM1070</t>
  </si>
  <si>
    <t>PM1080</t>
  </si>
  <si>
    <t>PM1100</t>
  </si>
  <si>
    <t>PM1330</t>
  </si>
  <si>
    <t>PM1360</t>
  </si>
  <si>
    <t>PM1120</t>
  </si>
  <si>
    <t>TA1440</t>
  </si>
  <si>
    <t>TA1470</t>
  </si>
  <si>
    <t>TA1430</t>
  </si>
  <si>
    <t>TA1460</t>
  </si>
  <si>
    <t>PM1110</t>
  </si>
  <si>
    <t>TA1340</t>
  </si>
  <si>
    <t>TA1350</t>
  </si>
  <si>
    <t>TA1420</t>
  </si>
  <si>
    <t>TA1450</t>
  </si>
  <si>
    <t>TA2633</t>
  </si>
  <si>
    <t>TA2634</t>
  </si>
  <si>
    <t>TA2640</t>
  </si>
  <si>
    <t>TA2650</t>
  </si>
  <si>
    <t>TA2660</t>
  </si>
  <si>
    <t>NA1440</t>
  </si>
  <si>
    <t>NA1430</t>
  </si>
  <si>
    <t>TA1780</t>
  </si>
  <si>
    <t>TA2120</t>
  </si>
  <si>
    <t>NA1420</t>
  </si>
  <si>
    <t>NA1480</t>
  </si>
  <si>
    <t>TA1670</t>
  </si>
  <si>
    <t>NA1830</t>
  </si>
  <si>
    <t>NA2180</t>
  </si>
  <si>
    <t>NA2630</t>
  </si>
  <si>
    <t>NA2680</t>
  </si>
  <si>
    <t>NA2740</t>
  </si>
  <si>
    <t>NA2750</t>
  </si>
  <si>
    <t>NA3000</t>
  </si>
  <si>
    <t>NA3030</t>
  </si>
  <si>
    <t>NA3040</t>
  </si>
  <si>
    <t>TA1830</t>
  </si>
  <si>
    <t>TA1773</t>
  </si>
  <si>
    <t>TA1774</t>
  </si>
  <si>
    <t>TA1890</t>
  </si>
  <si>
    <t>TA2631</t>
  </si>
  <si>
    <t>TA2632</t>
  </si>
  <si>
    <t>TA2670</t>
  </si>
  <si>
    <t>TA2680</t>
  </si>
  <si>
    <t>TA2690</t>
  </si>
  <si>
    <t>TA2700</t>
  </si>
  <si>
    <t>TA2711</t>
  </si>
  <si>
    <t>TA2712</t>
  </si>
  <si>
    <t>NA1460</t>
  </si>
  <si>
    <t>NA1470</t>
  </si>
  <si>
    <t>NA1870</t>
  </si>
  <si>
    <t>NA1880</t>
  </si>
  <si>
    <t>NA1900</t>
  </si>
  <si>
    <t>NA1910</t>
  </si>
  <si>
    <t>NA1890</t>
  </si>
  <si>
    <t>NA1920</t>
  </si>
  <si>
    <t>NA2090</t>
  </si>
  <si>
    <t>NA2100</t>
  </si>
  <si>
    <t>NA2150</t>
  </si>
  <si>
    <t>NA2190</t>
  </si>
  <si>
    <t>NA2200</t>
  </si>
  <si>
    <t>NA2210</t>
  </si>
  <si>
    <t>NA2230</t>
  </si>
  <si>
    <t>NA2240</t>
  </si>
  <si>
    <t>NA2250</t>
  </si>
  <si>
    <t>NA2320</t>
  </si>
  <si>
    <t>NA2330</t>
  </si>
  <si>
    <t>NA2400</t>
  </si>
  <si>
    <t>NA2410</t>
  </si>
  <si>
    <t>TA2770</t>
  </si>
  <si>
    <t>NA2800</t>
  </si>
  <si>
    <t>NA2830</t>
  </si>
  <si>
    <t>NA2920</t>
  </si>
  <si>
    <t>NA2930</t>
  </si>
  <si>
    <t>NA2950</t>
  </si>
  <si>
    <t>NA2960</t>
  </si>
  <si>
    <t>NA2970</t>
  </si>
  <si>
    <t>NA3070</t>
  </si>
  <si>
    <t>NA3090</t>
  </si>
  <si>
    <t>NA3120</t>
  </si>
  <si>
    <t>NA3150</t>
  </si>
  <si>
    <t>NA3280</t>
  </si>
  <si>
    <t>NA3291</t>
  </si>
  <si>
    <t>NA3292</t>
  </si>
  <si>
    <t>NA3300</t>
  </si>
  <si>
    <t>NA3301</t>
  </si>
  <si>
    <t>NA3320</t>
  </si>
  <si>
    <t>NA3370</t>
  </si>
  <si>
    <t>TA1040</t>
  </si>
  <si>
    <t>TA1050</t>
  </si>
  <si>
    <t>TA2750</t>
  </si>
  <si>
    <t>TA2830</t>
  </si>
  <si>
    <t>TA2840</t>
  </si>
  <si>
    <t>TA2850</t>
  </si>
  <si>
    <t>TA2860</t>
  </si>
  <si>
    <t>TA2870</t>
  </si>
  <si>
    <t>TA2880</t>
  </si>
  <si>
    <t>NA2770</t>
  </si>
  <si>
    <t>NA2980</t>
  </si>
  <si>
    <t>TA1771</t>
  </si>
  <si>
    <t>TA1772</t>
  </si>
  <si>
    <t>TA1330</t>
  </si>
  <si>
    <t>TA1680</t>
  </si>
  <si>
    <t>TA1690</t>
  </si>
  <si>
    <t>NA3340</t>
  </si>
  <si>
    <t>NA1450</t>
  </si>
  <si>
    <t>NA1860</t>
  </si>
  <si>
    <t>TA1790</t>
  </si>
  <si>
    <t>TA3000</t>
  </si>
  <si>
    <t>TA3010</t>
  </si>
  <si>
    <t>TA3050</t>
  </si>
  <si>
    <t>TA3060</t>
  </si>
  <si>
    <t>NA3080</t>
  </si>
  <si>
    <t>NA3110</t>
  </si>
  <si>
    <t>NA1840</t>
  </si>
  <si>
    <t>NA2720</t>
  </si>
  <si>
    <t>NA3330</t>
  </si>
  <si>
    <t>NA1850</t>
  </si>
  <si>
    <t>PM1430</t>
  </si>
  <si>
    <t>PM1270</t>
  </si>
  <si>
    <t>PM1230</t>
  </si>
  <si>
    <t>PM1280</t>
  </si>
  <si>
    <t>PM1220</t>
  </si>
  <si>
    <t>TA1490</t>
  </si>
  <si>
    <t>NA2031</t>
  </si>
  <si>
    <t>NA2700</t>
  </si>
  <si>
    <t>NA2810</t>
  </si>
  <si>
    <t>NA2990</t>
  </si>
  <si>
    <t>TA0804</t>
  </si>
  <si>
    <t>TA0811</t>
  </si>
  <si>
    <t>TA121A</t>
  </si>
  <si>
    <t>TA136A</t>
  </si>
  <si>
    <t>TA148A</t>
  </si>
  <si>
    <t>TA1551</t>
  </si>
  <si>
    <t>TA1561</t>
  </si>
  <si>
    <t>TA1800</t>
  </si>
  <si>
    <t>TA1810</t>
  </si>
  <si>
    <t>TA1980</t>
  </si>
  <si>
    <t>TA198A</t>
  </si>
  <si>
    <t>TA199A</t>
  </si>
  <si>
    <t>TA2005</t>
  </si>
  <si>
    <t>TA2950</t>
  </si>
  <si>
    <t>TA1371</t>
  </si>
  <si>
    <t>TA1372</t>
  </si>
  <si>
    <t>TA1731</t>
  </si>
  <si>
    <t>TA1742</t>
  </si>
  <si>
    <t>TA1941</t>
  </si>
  <si>
    <t>TA1942</t>
  </si>
  <si>
    <t>TA1950</t>
  </si>
  <si>
    <t>TA2521</t>
  </si>
  <si>
    <t>TA2522</t>
  </si>
  <si>
    <t>TA2532</t>
  </si>
  <si>
    <t>TA2541</t>
  </si>
  <si>
    <t>TA2542</t>
  </si>
  <si>
    <t>TA2551</t>
  </si>
  <si>
    <t>TA2552</t>
  </si>
  <si>
    <t>TA1380</t>
  </si>
  <si>
    <t>HN0140</t>
  </si>
  <si>
    <t>HN0220</t>
  </si>
  <si>
    <t>HN0230</t>
  </si>
  <si>
    <t>TA0801</t>
  </si>
  <si>
    <t>TA0802</t>
  </si>
  <si>
    <t>TA0803</t>
  </si>
  <si>
    <t>TA0812</t>
  </si>
  <si>
    <t>TA0813</t>
  </si>
  <si>
    <t>TA1070</t>
  </si>
  <si>
    <t>TA1130</t>
  </si>
  <si>
    <t>TA1150</t>
  </si>
  <si>
    <t>TA1170</t>
  </si>
  <si>
    <t>TA1190</t>
  </si>
  <si>
    <t>TA1240</t>
  </si>
  <si>
    <t>TA1250</t>
  </si>
  <si>
    <t>TA1410</t>
  </si>
  <si>
    <t>TA1552</t>
  </si>
  <si>
    <t>TA1553</t>
  </si>
  <si>
    <t>TA1554</t>
  </si>
  <si>
    <t>TA1562</t>
  </si>
  <si>
    <t>TA1563</t>
  </si>
  <si>
    <t>TA1564</t>
  </si>
  <si>
    <t>TA1610</t>
  </si>
  <si>
    <t>TA1620</t>
  </si>
  <si>
    <t>TA1630</t>
  </si>
  <si>
    <t>TA1650</t>
  </si>
  <si>
    <t>TA1640</t>
  </si>
  <si>
    <t>TA2001</t>
  </si>
  <si>
    <t>TA2002</t>
  </si>
  <si>
    <t>TA2003</t>
  </si>
  <si>
    <t>TA2004</t>
  </si>
  <si>
    <t>TA2010</t>
  </si>
  <si>
    <t>TA2020</t>
  </si>
  <si>
    <t>TA2030</t>
  </si>
  <si>
    <t>TA2721</t>
  </si>
  <si>
    <t>TA2722</t>
  </si>
  <si>
    <t>TA2730</t>
  </si>
  <si>
    <t>TA1541</t>
  </si>
  <si>
    <t>TA1542</t>
  </si>
  <si>
    <t>TA1571</t>
  </si>
  <si>
    <t>TA1572</t>
  </si>
  <si>
    <t>TA1581</t>
  </si>
  <si>
    <t>TA1582</t>
  </si>
  <si>
    <t>TA1600</t>
  </si>
  <si>
    <t>HN0540</t>
  </si>
  <si>
    <t>HN0550</t>
  </si>
  <si>
    <t>HN0560</t>
  </si>
  <si>
    <t>HN0150</t>
  </si>
  <si>
    <t>HN0160</t>
  </si>
  <si>
    <t>HN0170</t>
  </si>
  <si>
    <t>HN0240</t>
  </si>
  <si>
    <t>HN0250</t>
  </si>
  <si>
    <t>HN0490</t>
  </si>
  <si>
    <t>HN0530</t>
  </si>
  <si>
    <t>TA1090</t>
  </si>
  <si>
    <t>TA1732</t>
  </si>
  <si>
    <t>TA1733</t>
  </si>
  <si>
    <t>TA1741</t>
  </si>
  <si>
    <t>TA2531</t>
  </si>
  <si>
    <t>TA2580</t>
  </si>
  <si>
    <t>HN0180</t>
  </si>
  <si>
    <t>HN0190</t>
  </si>
  <si>
    <t>HN0200</t>
  </si>
  <si>
    <t>HN0210</t>
  </si>
  <si>
    <t>HN0580</t>
  </si>
  <si>
    <t>PM1041</t>
  </si>
  <si>
    <t>PM105A</t>
  </si>
  <si>
    <t>PM1140</t>
  </si>
  <si>
    <t>PM1160</t>
  </si>
  <si>
    <t>PM1170</t>
  </si>
  <si>
    <t>PM1180</t>
  </si>
  <si>
    <t>PM1200</t>
  </si>
  <si>
    <t>PM1210</t>
  </si>
  <si>
    <t>PM1250</t>
  </si>
  <si>
    <t>PM1290</t>
  </si>
  <si>
    <t>PM1310</t>
  </si>
  <si>
    <t>PM1370</t>
  </si>
  <si>
    <t>PM1420</t>
  </si>
  <si>
    <t>PM1450</t>
  </si>
  <si>
    <t>PM1480</t>
  </si>
  <si>
    <t>PM1470</t>
  </si>
  <si>
    <t>PM1490</t>
  </si>
  <si>
    <t>PM1500</t>
  </si>
  <si>
    <t>PM1042</t>
  </si>
  <si>
    <t>PM1150</t>
  </si>
  <si>
    <t>PM1190</t>
  </si>
  <si>
    <t>PM1260</t>
  </si>
  <si>
    <t>PM1300</t>
  </si>
  <si>
    <t>PM1320</t>
  </si>
  <si>
    <t>PM1410</t>
  </si>
  <si>
    <t>PM1440</t>
  </si>
  <si>
    <t>MS0230</t>
  </si>
  <si>
    <t>PM1240</t>
  </si>
  <si>
    <t>PM1090</t>
  </si>
  <si>
    <t>PM1130</t>
  </si>
  <si>
    <t>NA2032</t>
  </si>
  <si>
    <t>TA2970</t>
  </si>
  <si>
    <t>TA2980</t>
  </si>
  <si>
    <t>Length Cutting</t>
  </si>
  <si>
    <t>Length Shrinkage</t>
  </si>
  <si>
    <t>(mm)</t>
  </si>
  <si>
    <t>788±2</t>
  </si>
  <si>
    <t>340±2</t>
  </si>
  <si>
    <t>758±2</t>
  </si>
  <si>
    <t>528±2</t>
  </si>
  <si>
    <t>733±2</t>
  </si>
  <si>
    <t>603±2</t>
  </si>
  <si>
    <t>618±2</t>
  </si>
  <si>
    <t>12±3</t>
  </si>
  <si>
    <t>118±2</t>
  </si>
  <si>
    <t>483±2</t>
  </si>
  <si>
    <t>728±2</t>
  </si>
  <si>
    <t>662±2</t>
  </si>
  <si>
    <t>90±2</t>
  </si>
  <si>
    <t>74-78</t>
  </si>
  <si>
    <t>490±2</t>
  </si>
  <si>
    <t>450-455</t>
  </si>
  <si>
    <t>400±2</t>
  </si>
  <si>
    <t>210±2</t>
  </si>
  <si>
    <t>188-192</t>
  </si>
  <si>
    <t>590±2</t>
  </si>
  <si>
    <t>535-540</t>
  </si>
  <si>
    <t>438±2</t>
  </si>
  <si>
    <t>398-402</t>
  </si>
  <si>
    <t>165±2</t>
  </si>
  <si>
    <t>145-149</t>
  </si>
  <si>
    <t>203±2</t>
  </si>
  <si>
    <t>213±2</t>
  </si>
  <si>
    <t>195-199</t>
  </si>
  <si>
    <t>413±2</t>
  </si>
  <si>
    <t>373-377</t>
  </si>
  <si>
    <t>375±2</t>
  </si>
  <si>
    <t>340-344</t>
  </si>
  <si>
    <t>233±2</t>
  </si>
  <si>
    <t>338±2</t>
  </si>
  <si>
    <t>243±2</t>
  </si>
  <si>
    <t>223±2</t>
  </si>
  <si>
    <t>201-204</t>
  </si>
  <si>
    <t>625±2</t>
  </si>
  <si>
    <t>516-520</t>
  </si>
  <si>
    <t>270±2</t>
  </si>
  <si>
    <t>220-224</t>
  </si>
  <si>
    <t>468±2</t>
  </si>
  <si>
    <t>143±2</t>
  </si>
  <si>
    <t>123-128</t>
  </si>
  <si>
    <t>357±2</t>
  </si>
  <si>
    <t>390±2</t>
  </si>
  <si>
    <t>541±2</t>
  </si>
  <si>
    <t>493-497</t>
  </si>
  <si>
    <t>345±2</t>
  </si>
  <si>
    <t>306-310</t>
  </si>
  <si>
    <t>131-133</t>
  </si>
  <si>
    <t>148±2</t>
  </si>
  <si>
    <t>135-139</t>
  </si>
  <si>
    <t>515±2</t>
  </si>
  <si>
    <t>473-477</t>
  </si>
  <si>
    <t>278±2</t>
  </si>
  <si>
    <t>325±2</t>
  </si>
  <si>
    <t>570±2</t>
  </si>
  <si>
    <t>505-509</t>
  </si>
  <si>
    <t>735±2</t>
  </si>
  <si>
    <t>293±2</t>
  </si>
  <si>
    <t>368±2</t>
  </si>
  <si>
    <t>358±2</t>
  </si>
  <si>
    <t>605±2</t>
  </si>
  <si>
    <t>620±2</t>
  </si>
  <si>
    <t>138±2</t>
  </si>
  <si>
    <t>228±2</t>
  </si>
  <si>
    <t>185±2</t>
  </si>
  <si>
    <t>533±2</t>
  </si>
  <si>
    <t>481-485</t>
  </si>
  <si>
    <t>520±2</t>
  </si>
  <si>
    <t>462-466</t>
  </si>
  <si>
    <t>425±2</t>
  </si>
  <si>
    <t>565±2</t>
  </si>
  <si>
    <t>470±2</t>
  </si>
  <si>
    <t>492±2</t>
  </si>
  <si>
    <t>180±2</t>
  </si>
  <si>
    <t>280±2</t>
  </si>
  <si>
    <t>230-235</t>
  </si>
  <si>
    <t>263±2</t>
  </si>
  <si>
    <t>222-230</t>
  </si>
  <si>
    <t>245±2</t>
  </si>
  <si>
    <t>227-231</t>
  </si>
  <si>
    <t>738±2</t>
  </si>
  <si>
    <t>363±2</t>
  </si>
  <si>
    <t>453±2</t>
  </si>
  <si>
    <t>418-422</t>
  </si>
  <si>
    <t>428±2</t>
  </si>
  <si>
    <t>425-428</t>
  </si>
  <si>
    <t>343±2</t>
  </si>
  <si>
    <t>339-342</t>
  </si>
  <si>
    <t>545±2</t>
  </si>
  <si>
    <t>542-544</t>
  </si>
  <si>
    <t>365±2</t>
  </si>
  <si>
    <t>508±2</t>
  </si>
  <si>
    <t>475-480</t>
  </si>
  <si>
    <t>448±2</t>
  </si>
  <si>
    <t>288±2</t>
  </si>
  <si>
    <t>250±2</t>
  </si>
  <si>
    <t>380±2</t>
  </si>
  <si>
    <t>350-354</t>
  </si>
  <si>
    <t>220±2</t>
  </si>
  <si>
    <t>198-202</t>
  </si>
  <si>
    <t>547±2</t>
  </si>
  <si>
    <t>495-500</t>
  </si>
  <si>
    <t>450±2</t>
  </si>
  <si>
    <t>418±2</t>
  </si>
  <si>
    <t>510±2</t>
  </si>
  <si>
    <t>505-508</t>
  </si>
  <si>
    <t>406±2</t>
  </si>
  <si>
    <t>182±2</t>
  </si>
  <si>
    <t>360-369</t>
  </si>
  <si>
    <t>MC Extrude</t>
  </si>
  <si>
    <t>DL1</t>
  </si>
  <si>
    <t>DL2</t>
  </si>
  <si>
    <t>CHS3L</t>
  </si>
  <si>
    <t>DL3</t>
  </si>
  <si>
    <t>CHS2L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</si>
</sst>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FFFF00"/>
      <name val="Calibri"/>
      <charset val="1"/>
    </font>
    <font>
      <sz val="12"/>
      <color theme="0"/>
      <name val="Calibri"/>
      <charset val="1"/>
    </font>
    <font>
      <sz val="12"/>
      <color theme="1"/>
      <name val="Calibri"/>
      <charset val="1"/>
    </font>
    <font>
      <sz val="12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rgb="FF333333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abowo.vlt01565/Downloads/31a751aa-669e-40b8-ab49-08ca820c338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abowo.vlt01565/Downloads/Standard%20Panjang%20Green%20Hose%20CHS%203%202026%20rev%20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S2 hal 1"/>
      <sheetName val="Sheet1"/>
      <sheetName val="CHS2 hal 2"/>
      <sheetName val="Sheet2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NA-1420</v>
          </cell>
          <cell r="B1" t="str">
            <v>HOSE, RADIATOR NO. 2</v>
          </cell>
          <cell r="C1" t="str">
            <v>DTSB5501G-1F</v>
          </cell>
          <cell r="D1" t="str">
            <v>VIN WATER &gt; EPDM &lt; DATE</v>
          </cell>
          <cell r="E1">
            <v>24</v>
          </cell>
          <cell r="F1">
            <v>32</v>
          </cell>
          <cell r="G1">
            <v>635</v>
          </cell>
          <cell r="H1" t="str">
            <v>634±1</v>
          </cell>
          <cell r="I1">
            <v>24</v>
          </cell>
          <cell r="J1">
            <v>6688</v>
          </cell>
        </row>
        <row r="2">
          <cell r="A2" t="str">
            <v>NA-1430</v>
          </cell>
          <cell r="B2" t="str">
            <v>HOSE, RADIATOR NO. 1</v>
          </cell>
          <cell r="C2" t="str">
            <v>DTSB5501G-1F</v>
          </cell>
          <cell r="D2" t="str">
            <v>VIN WATER &gt; EPDM &lt; DATE</v>
          </cell>
          <cell r="E2">
            <v>31</v>
          </cell>
          <cell r="F2">
            <v>39</v>
          </cell>
          <cell r="G2">
            <v>406</v>
          </cell>
          <cell r="H2" t="str">
            <v>401±1</v>
          </cell>
          <cell r="I2">
            <v>24</v>
          </cell>
          <cell r="J2">
            <v>6655</v>
          </cell>
        </row>
        <row r="3">
          <cell r="A3" t="str">
            <v>NA-1440</v>
          </cell>
          <cell r="B3" t="str">
            <v>HOSE, RADIATOR NO. 1</v>
          </cell>
          <cell r="C3" t="str">
            <v>DTSB5501G-1F</v>
          </cell>
          <cell r="D3" t="str">
            <v>VIN WATER &gt; EPDM &lt; DATE</v>
          </cell>
          <cell r="E3">
            <v>31</v>
          </cell>
          <cell r="F3">
            <v>39</v>
          </cell>
          <cell r="G3">
            <v>425</v>
          </cell>
          <cell r="H3" t="str">
            <v>423±1</v>
          </cell>
          <cell r="I3">
            <v>24</v>
          </cell>
          <cell r="J3">
            <v>6655</v>
          </cell>
        </row>
        <row r="4">
          <cell r="A4" t="str">
            <v>NA-1450</v>
          </cell>
          <cell r="B4" t="str">
            <v>HOSE, RADIATOR NO. 2</v>
          </cell>
          <cell r="C4" t="str">
            <v>DTSB5501G-1F</v>
          </cell>
          <cell r="D4" t="str">
            <v>VIN WATER &gt; EPDM &lt; DATE</v>
          </cell>
          <cell r="E4">
            <v>30</v>
          </cell>
          <cell r="F4">
            <v>38</v>
          </cell>
          <cell r="G4">
            <v>570</v>
          </cell>
          <cell r="H4" t="str">
            <v>569±1</v>
          </cell>
          <cell r="I4">
            <v>24</v>
          </cell>
          <cell r="J4">
            <v>6655</v>
          </cell>
        </row>
        <row r="5">
          <cell r="A5" t="str">
            <v>NA-1460</v>
          </cell>
          <cell r="B5" t="str">
            <v>HOSE, WATER</v>
          </cell>
          <cell r="C5" t="str">
            <v>DTSB5501G-1F</v>
          </cell>
          <cell r="D5" t="str">
            <v>VIN WATER &gt; EPDM &lt; DATE</v>
          </cell>
          <cell r="E5">
            <v>13</v>
          </cell>
          <cell r="F5">
            <v>21</v>
          </cell>
          <cell r="G5">
            <v>248</v>
          </cell>
          <cell r="H5" t="str">
            <v>240±1</v>
          </cell>
          <cell r="I5">
            <v>100</v>
          </cell>
          <cell r="J5">
            <v>6655</v>
          </cell>
        </row>
        <row r="6">
          <cell r="A6" t="str">
            <v>NA-1470</v>
          </cell>
          <cell r="B6" t="str">
            <v>HOSE, WATER</v>
          </cell>
          <cell r="C6" t="str">
            <v>DTSB5501G-1F</v>
          </cell>
          <cell r="D6" t="str">
            <v>VIN WATER &gt; EPDM &lt; DATE</v>
          </cell>
          <cell r="E6">
            <v>13</v>
          </cell>
          <cell r="F6">
            <v>21</v>
          </cell>
          <cell r="G6">
            <v>230</v>
          </cell>
          <cell r="H6" t="str">
            <v>225±1</v>
          </cell>
          <cell r="I6">
            <v>100</v>
          </cell>
          <cell r="J6">
            <v>6655</v>
          </cell>
        </row>
        <row r="7">
          <cell r="A7" t="str">
            <v>NA-1480</v>
          </cell>
          <cell r="B7" t="str">
            <v>HOSE, RADIATOR NO. 1</v>
          </cell>
          <cell r="C7" t="str">
            <v>DTSB5501G-1F</v>
          </cell>
          <cell r="D7" t="str">
            <v>VIN WATER &gt; EPDM &lt; DATE</v>
          </cell>
          <cell r="E7">
            <v>24</v>
          </cell>
          <cell r="F7">
            <v>32</v>
          </cell>
          <cell r="G7">
            <v>450</v>
          </cell>
          <cell r="H7" t="str">
            <v>449±1</v>
          </cell>
          <cell r="I7">
            <v>24</v>
          </cell>
          <cell r="J7">
            <v>6655</v>
          </cell>
        </row>
        <row r="8">
          <cell r="A8" t="str">
            <v>NA-1580</v>
          </cell>
          <cell r="B8" t="str">
            <v>HOSE, FUEL TANK TO FILLER PIPE</v>
          </cell>
          <cell r="C8" t="str">
            <v>DTSE7351G-1</v>
          </cell>
          <cell r="D8" t="str">
            <v>VIN &gt; NBR-PVC &lt; DATE</v>
          </cell>
          <cell r="E8">
            <v>34</v>
          </cell>
          <cell r="F8">
            <v>42</v>
          </cell>
          <cell r="G8">
            <v>342</v>
          </cell>
          <cell r="H8" t="str">
            <v>342±2</v>
          </cell>
          <cell r="I8">
            <v>16</v>
          </cell>
          <cell r="J8">
            <v>2011</v>
          </cell>
        </row>
        <row r="9">
          <cell r="A9" t="str">
            <v>NA-1610</v>
          </cell>
          <cell r="B9" t="str">
            <v>HOSE, FUEL TANK TO FILLER PIPE</v>
          </cell>
          <cell r="C9" t="str">
            <v>DTSE7351G-1</v>
          </cell>
          <cell r="D9" t="str">
            <v>VIN &gt; NBR-PVC &lt; DATE</v>
          </cell>
          <cell r="E9">
            <v>34</v>
          </cell>
          <cell r="F9">
            <v>42</v>
          </cell>
          <cell r="G9">
            <v>342</v>
          </cell>
          <cell r="H9" t="str">
            <v>342±2</v>
          </cell>
          <cell r="I9">
            <v>16</v>
          </cell>
          <cell r="J9">
            <v>2011</v>
          </cell>
        </row>
        <row r="10">
          <cell r="A10" t="str">
            <v>NA-1830</v>
          </cell>
          <cell r="B10" t="str">
            <v>HOSE, WATER BY-PASS, NO. 3</v>
          </cell>
          <cell r="C10" t="str">
            <v>DTSB5501G-1F</v>
          </cell>
          <cell r="D10" t="str">
            <v>VIN WATER &gt; EPDM &lt; DATE</v>
          </cell>
          <cell r="E10">
            <v>16</v>
          </cell>
          <cell r="F10">
            <v>24</v>
          </cell>
          <cell r="G10">
            <v>369</v>
          </cell>
          <cell r="H10" t="str">
            <v>365±1</v>
          </cell>
          <cell r="I10">
            <v>50</v>
          </cell>
          <cell r="J10">
            <v>6655</v>
          </cell>
        </row>
        <row r="11">
          <cell r="A11" t="str">
            <v>NA-1840</v>
          </cell>
          <cell r="B11" t="str">
            <v>HOSE, WATER BY-PASS, NO. 1</v>
          </cell>
          <cell r="C11" t="str">
            <v>DTSB5501G-1F</v>
          </cell>
          <cell r="D11" t="str">
            <v>-</v>
          </cell>
          <cell r="E11">
            <v>7.5</v>
          </cell>
          <cell r="F11">
            <v>14.5</v>
          </cell>
          <cell r="G11">
            <v>680</v>
          </cell>
          <cell r="H11" t="str">
            <v>669±4</v>
          </cell>
          <cell r="I11">
            <v>50</v>
          </cell>
          <cell r="J11">
            <v>6655</v>
          </cell>
        </row>
        <row r="12">
          <cell r="A12" t="str">
            <v>NA-1850</v>
          </cell>
          <cell r="B12" t="str">
            <v>HOSE, WATER BY-PASS, NO. 4</v>
          </cell>
          <cell r="C12" t="str">
            <v>DTSB5501G-1F</v>
          </cell>
          <cell r="D12" t="str">
            <v>VIN WATER &gt; EPDM &lt; DATE</v>
          </cell>
          <cell r="E12">
            <v>21</v>
          </cell>
          <cell r="F12">
            <v>29</v>
          </cell>
          <cell r="G12">
            <v>148</v>
          </cell>
          <cell r="H12" t="str">
            <v>140±1</v>
          </cell>
          <cell r="I12">
            <v>100</v>
          </cell>
          <cell r="J12">
            <v>6655</v>
          </cell>
        </row>
        <row r="13">
          <cell r="A13" t="str">
            <v>NA-1860</v>
          </cell>
          <cell r="B13" t="str">
            <v>HOSE, RADIATOR</v>
          </cell>
          <cell r="C13" t="str">
            <v>DTSB5501G-1F</v>
          </cell>
          <cell r="D13" t="str">
            <v>VIN WATER &gt; EPDM &lt; DATE</v>
          </cell>
          <cell r="E13">
            <v>30.4</v>
          </cell>
          <cell r="F13">
            <v>38.4</v>
          </cell>
          <cell r="G13">
            <v>181</v>
          </cell>
          <cell r="H13" t="str">
            <v>180±1</v>
          </cell>
          <cell r="I13">
            <v>48</v>
          </cell>
          <cell r="J13">
            <v>6655</v>
          </cell>
        </row>
        <row r="14">
          <cell r="A14" t="str">
            <v>NA-1870</v>
          </cell>
          <cell r="B14" t="str">
            <v>HOSE, WATER BY-PASS, NO. 2</v>
          </cell>
          <cell r="C14" t="str">
            <v>DTSB5501G-1F</v>
          </cell>
          <cell r="D14" t="str">
            <v>VIN WATER &gt; EPDM &lt; DATE</v>
          </cell>
          <cell r="E14">
            <v>13</v>
          </cell>
          <cell r="F14">
            <v>21</v>
          </cell>
          <cell r="G14">
            <v>805</v>
          </cell>
          <cell r="H14" t="str">
            <v>799±1</v>
          </cell>
          <cell r="I14">
            <v>50</v>
          </cell>
          <cell r="J14">
            <v>6655</v>
          </cell>
        </row>
        <row r="15">
          <cell r="A15" t="str">
            <v>NA-1880</v>
          </cell>
          <cell r="B15" t="str">
            <v>HOSE, WATER BY-PASS, NO. 1</v>
          </cell>
          <cell r="C15" t="str">
            <v>DTSB5501G-1F</v>
          </cell>
          <cell r="D15" t="str">
            <v>VIN WATER &gt; EPDM &lt; DATE</v>
          </cell>
          <cell r="E15">
            <v>13</v>
          </cell>
          <cell r="F15">
            <v>21</v>
          </cell>
          <cell r="G15">
            <v>366</v>
          </cell>
          <cell r="H15" t="str">
            <v>360±1</v>
          </cell>
          <cell r="I15">
            <v>50</v>
          </cell>
          <cell r="J15">
            <v>6655</v>
          </cell>
        </row>
        <row r="16">
          <cell r="A16" t="str">
            <v>NA-1890</v>
          </cell>
          <cell r="B16" t="str">
            <v>HOSE, WATER, NO. 2</v>
          </cell>
          <cell r="C16" t="str">
            <v>DTSB5501G-1F</v>
          </cell>
          <cell r="D16" t="str">
            <v>VIN WATER &gt; EPDM &lt; DATE</v>
          </cell>
          <cell r="E16">
            <v>13</v>
          </cell>
          <cell r="F16">
            <v>21</v>
          </cell>
          <cell r="G16">
            <v>498</v>
          </cell>
          <cell r="H16" t="str">
            <v>491±1</v>
          </cell>
          <cell r="I16">
            <v>50</v>
          </cell>
          <cell r="J16">
            <v>6655</v>
          </cell>
        </row>
        <row r="17">
          <cell r="A17" t="str">
            <v>NA-1900</v>
          </cell>
          <cell r="B17" t="str">
            <v>HOSE, WATER, NO. 2</v>
          </cell>
          <cell r="C17" t="str">
            <v>DTSB5501G-1F</v>
          </cell>
          <cell r="D17" t="str">
            <v>VIN WATER &gt; EPDM &lt; DATE</v>
          </cell>
          <cell r="E17">
            <v>13</v>
          </cell>
          <cell r="F17">
            <v>21</v>
          </cell>
          <cell r="G17">
            <v>445</v>
          </cell>
          <cell r="H17" t="str">
            <v>438±1</v>
          </cell>
          <cell r="I17">
            <v>50</v>
          </cell>
          <cell r="J17">
            <v>6655</v>
          </cell>
        </row>
        <row r="18">
          <cell r="A18" t="str">
            <v>NA-1910</v>
          </cell>
          <cell r="B18" t="str">
            <v>HOSE, WATER</v>
          </cell>
          <cell r="C18" t="str">
            <v>DTSB5501G-1F</v>
          </cell>
          <cell r="D18" t="str">
            <v>VIN WATER &gt; EPDM &lt; DATE</v>
          </cell>
          <cell r="E18">
            <v>13</v>
          </cell>
          <cell r="F18">
            <v>21</v>
          </cell>
          <cell r="G18">
            <v>363</v>
          </cell>
          <cell r="H18" t="str">
            <v>356±1</v>
          </cell>
          <cell r="I18">
            <v>50</v>
          </cell>
          <cell r="J18">
            <v>6655</v>
          </cell>
        </row>
        <row r="19">
          <cell r="A19" t="str">
            <v>NA-1920</v>
          </cell>
          <cell r="B19" t="str">
            <v>HOSE, WATER</v>
          </cell>
          <cell r="C19" t="str">
            <v>DTSB5501G-1F</v>
          </cell>
          <cell r="D19" t="str">
            <v>VIN WATER &gt; EPDM &lt; DATE</v>
          </cell>
          <cell r="E19">
            <v>13</v>
          </cell>
          <cell r="F19">
            <v>21</v>
          </cell>
          <cell r="G19">
            <v>420</v>
          </cell>
          <cell r="H19" t="str">
            <v>413±1</v>
          </cell>
          <cell r="I19">
            <v>50</v>
          </cell>
          <cell r="J19">
            <v>6655</v>
          </cell>
        </row>
        <row r="20">
          <cell r="A20" t="str">
            <v>NA-2090</v>
          </cell>
          <cell r="B20" t="str">
            <v>HOSE, WATER BY-PASS, NO.1</v>
          </cell>
          <cell r="C20" t="str">
            <v>DTSB5501G-1F</v>
          </cell>
          <cell r="D20" t="str">
            <v>VIN WATER &gt; EPDM &lt; DATE</v>
          </cell>
          <cell r="E20">
            <v>13</v>
          </cell>
          <cell r="F20">
            <v>21</v>
          </cell>
          <cell r="G20">
            <v>508</v>
          </cell>
          <cell r="H20" t="str">
            <v>501±1</v>
          </cell>
          <cell r="I20">
            <v>50</v>
          </cell>
          <cell r="J20">
            <v>6655</v>
          </cell>
        </row>
        <row r="21">
          <cell r="A21" t="str">
            <v>NA-2100</v>
          </cell>
          <cell r="B21" t="str">
            <v>HOSE, WATER BY-PASS, NO.2</v>
          </cell>
          <cell r="C21" t="str">
            <v>DTSB5501G-1F</v>
          </cell>
          <cell r="D21" t="str">
            <v>VIN WATER &gt; EPDM &lt; DATE</v>
          </cell>
          <cell r="E21">
            <v>13</v>
          </cell>
          <cell r="F21">
            <v>21</v>
          </cell>
          <cell r="G21">
            <v>298</v>
          </cell>
          <cell r="H21" t="str">
            <v>291±1</v>
          </cell>
          <cell r="I21">
            <v>100</v>
          </cell>
          <cell r="J21">
            <v>6655</v>
          </cell>
        </row>
        <row r="22">
          <cell r="A22" t="str">
            <v>NA-2150</v>
          </cell>
          <cell r="B22" t="str">
            <v>HOSE, WATER</v>
          </cell>
          <cell r="C22" t="str">
            <v>DTSB5501G-1F</v>
          </cell>
          <cell r="D22" t="str">
            <v>VIN WATER &gt; EPDM &lt; DATE</v>
          </cell>
          <cell r="E22">
            <v>13</v>
          </cell>
          <cell r="F22">
            <v>21</v>
          </cell>
          <cell r="G22">
            <v>476</v>
          </cell>
          <cell r="H22" t="str">
            <v>472±1</v>
          </cell>
          <cell r="I22">
            <v>50</v>
          </cell>
          <cell r="J22">
            <v>6655</v>
          </cell>
        </row>
        <row r="23">
          <cell r="A23" t="str">
            <v>NA-2180</v>
          </cell>
          <cell r="B23" t="str">
            <v>HOSE, WATER</v>
          </cell>
          <cell r="C23" t="str">
            <v>DTSB5501G-1F</v>
          </cell>
          <cell r="D23" t="str">
            <v>VIN WATER &gt; EPDM &lt; DATE</v>
          </cell>
          <cell r="E23">
            <v>16</v>
          </cell>
          <cell r="F23">
            <v>24</v>
          </cell>
          <cell r="G23">
            <v>193</v>
          </cell>
          <cell r="H23" t="str">
            <v>186±1</v>
          </cell>
          <cell r="I23">
            <v>50</v>
          </cell>
          <cell r="J23">
            <v>6655</v>
          </cell>
        </row>
        <row r="24">
          <cell r="A24" t="str">
            <v>NA-2190</v>
          </cell>
          <cell r="B24" t="str">
            <v>HOSE, WATER</v>
          </cell>
          <cell r="C24" t="str">
            <v>DTSB5501G-1F</v>
          </cell>
          <cell r="D24" t="str">
            <v>VIN WATER &gt; EPDM &lt; DATE</v>
          </cell>
          <cell r="E24">
            <v>13</v>
          </cell>
          <cell r="F24">
            <v>21</v>
          </cell>
          <cell r="G24">
            <v>448</v>
          </cell>
          <cell r="H24" t="str">
            <v>441±1</v>
          </cell>
          <cell r="I24">
            <v>50</v>
          </cell>
          <cell r="J24">
            <v>6655</v>
          </cell>
        </row>
        <row r="25">
          <cell r="A25" t="str">
            <v>NA-2200</v>
          </cell>
          <cell r="B25" t="str">
            <v>HOSE, WATER, NO.2</v>
          </cell>
          <cell r="C25" t="str">
            <v>DTSB5501G-1F</v>
          </cell>
          <cell r="D25" t="str">
            <v>VIN WATER &gt; EPDM &lt; DATE</v>
          </cell>
          <cell r="E25">
            <v>13</v>
          </cell>
          <cell r="F25">
            <v>21</v>
          </cell>
          <cell r="G25">
            <v>396</v>
          </cell>
          <cell r="H25" t="str">
            <v>389±1</v>
          </cell>
          <cell r="I25">
            <v>50</v>
          </cell>
          <cell r="J25">
            <v>6655</v>
          </cell>
        </row>
        <row r="26">
          <cell r="A26" t="str">
            <v>NA-2210</v>
          </cell>
          <cell r="B26" t="str">
            <v>HOSE, WATER</v>
          </cell>
          <cell r="C26" t="str">
            <v>DTSB5501G-1F</v>
          </cell>
          <cell r="D26" t="str">
            <v>VIN WATER &gt; EPDM &lt; DATE</v>
          </cell>
          <cell r="E26">
            <v>13</v>
          </cell>
          <cell r="F26">
            <v>21</v>
          </cell>
          <cell r="G26">
            <v>611</v>
          </cell>
          <cell r="H26" t="str">
            <v>604±1</v>
          </cell>
          <cell r="I26">
            <v>50</v>
          </cell>
          <cell r="J26">
            <v>6655</v>
          </cell>
        </row>
        <row r="27">
          <cell r="A27" t="str">
            <v>NA-2230</v>
          </cell>
          <cell r="B27" t="str">
            <v>HOSE, WATER</v>
          </cell>
          <cell r="C27" t="str">
            <v>DTSB5501G-1F</v>
          </cell>
          <cell r="D27" t="str">
            <v>VIN WATER &gt; EPDM &lt; DATE</v>
          </cell>
          <cell r="E27">
            <v>13</v>
          </cell>
          <cell r="F27">
            <v>21</v>
          </cell>
          <cell r="G27">
            <v>646</v>
          </cell>
          <cell r="H27" t="str">
            <v>639±1</v>
          </cell>
          <cell r="I27">
            <v>50</v>
          </cell>
          <cell r="J27">
            <v>6688</v>
          </cell>
        </row>
        <row r="28">
          <cell r="A28" t="str">
            <v>NA-2240</v>
          </cell>
          <cell r="B28" t="str">
            <v>HOSE, WATER</v>
          </cell>
          <cell r="C28" t="str">
            <v>DTSB5501G-1F</v>
          </cell>
          <cell r="D28" t="str">
            <v>VIN WATER &gt; EPDM &lt; DATE</v>
          </cell>
          <cell r="E28">
            <v>13</v>
          </cell>
          <cell r="F28">
            <v>21</v>
          </cell>
          <cell r="G28">
            <v>503</v>
          </cell>
          <cell r="H28" t="str">
            <v>496±1</v>
          </cell>
          <cell r="I28">
            <v>50</v>
          </cell>
          <cell r="J28">
            <v>6655</v>
          </cell>
        </row>
        <row r="29">
          <cell r="A29" t="str">
            <v>NA-2250</v>
          </cell>
          <cell r="B29" t="str">
            <v>HOSE, WATER, NO. 2</v>
          </cell>
          <cell r="C29" t="str">
            <v>DTSB5501G-1F</v>
          </cell>
          <cell r="D29" t="str">
            <v>VIN WATER &gt; EPDM &lt; DATE</v>
          </cell>
          <cell r="E29">
            <v>13</v>
          </cell>
          <cell r="F29">
            <v>21</v>
          </cell>
          <cell r="G29">
            <v>456</v>
          </cell>
          <cell r="H29" t="str">
            <v>448±1</v>
          </cell>
          <cell r="I29">
            <v>50</v>
          </cell>
          <cell r="J29">
            <v>6655</v>
          </cell>
        </row>
        <row r="30">
          <cell r="A30" t="str">
            <v>NA-2320</v>
          </cell>
          <cell r="B30" t="str">
            <v>HOSE, WATER, NO. 2</v>
          </cell>
          <cell r="C30" t="str">
            <v>DTSB5501G-1F</v>
          </cell>
          <cell r="D30" t="str">
            <v>VIN WATER &gt; EPDM &lt; DATE</v>
          </cell>
          <cell r="E30">
            <v>13</v>
          </cell>
          <cell r="F30">
            <v>21</v>
          </cell>
          <cell r="G30">
            <v>399</v>
          </cell>
          <cell r="H30" t="str">
            <v>392±1</v>
          </cell>
          <cell r="I30">
            <v>50</v>
          </cell>
          <cell r="J30">
            <v>6655</v>
          </cell>
        </row>
        <row r="31">
          <cell r="A31" t="str">
            <v>NA-2330</v>
          </cell>
          <cell r="B31" t="str">
            <v>HOSE, WATER, NO. 2</v>
          </cell>
          <cell r="C31" t="str">
            <v>DTSB5501G-1F</v>
          </cell>
          <cell r="D31" t="str">
            <v>VIN WATER &gt; EPDM &lt; DATE</v>
          </cell>
          <cell r="E31">
            <v>13</v>
          </cell>
          <cell r="F31">
            <v>21</v>
          </cell>
          <cell r="G31">
            <v>498</v>
          </cell>
          <cell r="H31" t="str">
            <v>491±1</v>
          </cell>
          <cell r="I31">
            <v>50</v>
          </cell>
          <cell r="J31">
            <v>6655</v>
          </cell>
        </row>
        <row r="32">
          <cell r="A32" t="str">
            <v>NA-2400</v>
          </cell>
          <cell r="B32" t="str">
            <v>HOSE, WATER</v>
          </cell>
          <cell r="C32" t="str">
            <v>DTSB5501G-1F</v>
          </cell>
          <cell r="D32" t="str">
            <v>VIN WATER &gt; EPDM &lt; DATE</v>
          </cell>
          <cell r="E32">
            <v>13</v>
          </cell>
          <cell r="F32">
            <v>21</v>
          </cell>
          <cell r="G32">
            <v>476</v>
          </cell>
          <cell r="H32" t="str">
            <v>475±1</v>
          </cell>
          <cell r="I32">
            <v>50</v>
          </cell>
          <cell r="J32">
            <v>6655</v>
          </cell>
        </row>
        <row r="33">
          <cell r="A33" t="str">
            <v>NA-2410</v>
          </cell>
          <cell r="B33" t="str">
            <v>HOSE, WATER</v>
          </cell>
          <cell r="C33" t="str">
            <v>DTSB5501G-1F</v>
          </cell>
          <cell r="D33" t="str">
            <v>VIN WATER &gt; EPDM &lt; DATE</v>
          </cell>
          <cell r="E33">
            <v>13</v>
          </cell>
          <cell r="F33">
            <v>21</v>
          </cell>
          <cell r="G33">
            <v>611</v>
          </cell>
          <cell r="H33" t="str">
            <v>604±1</v>
          </cell>
          <cell r="I33">
            <v>50</v>
          </cell>
          <cell r="J33">
            <v>6655</v>
          </cell>
        </row>
        <row r="34">
          <cell r="A34" t="str">
            <v>NA-2630</v>
          </cell>
          <cell r="B34" t="str">
            <v>HOSE, WATER BY-PASS, NO. 2</v>
          </cell>
          <cell r="C34" t="str">
            <v>DTSB5501G-1F</v>
          </cell>
          <cell r="D34" t="str">
            <v>VIN WATER &gt; EPDM &lt; DATE</v>
          </cell>
          <cell r="E34">
            <v>16</v>
          </cell>
          <cell r="F34">
            <v>24</v>
          </cell>
          <cell r="G34">
            <v>248</v>
          </cell>
          <cell r="H34" t="str">
            <v>244±1</v>
          </cell>
          <cell r="I34">
            <v>100</v>
          </cell>
          <cell r="J34">
            <v>6655</v>
          </cell>
        </row>
        <row r="35">
          <cell r="A35" t="str">
            <v>NA-2680</v>
          </cell>
          <cell r="B35" t="str">
            <v>HOSE, WATER BY-PASS, NO. 1</v>
          </cell>
          <cell r="C35" t="str">
            <v>DTSB5501G-1F</v>
          </cell>
          <cell r="D35" t="str">
            <v>VIN WATER &gt; EPDM &lt; DATE</v>
          </cell>
          <cell r="E35">
            <v>16</v>
          </cell>
          <cell r="F35">
            <v>24</v>
          </cell>
          <cell r="G35">
            <v>392</v>
          </cell>
          <cell r="H35" t="str">
            <v>388±1</v>
          </cell>
          <cell r="I35">
            <v>50</v>
          </cell>
          <cell r="J35">
            <v>6655</v>
          </cell>
        </row>
        <row r="36">
          <cell r="A36" t="str">
            <v>NA-2720</v>
          </cell>
          <cell r="B36" t="str">
            <v>HOSE, WATER BY-PASS, NO. 3</v>
          </cell>
          <cell r="C36" t="str">
            <v>DTSB5501G-1F</v>
          </cell>
          <cell r="D36" t="str">
            <v>-</v>
          </cell>
          <cell r="E36">
            <v>7.5</v>
          </cell>
          <cell r="F36">
            <v>14.5</v>
          </cell>
          <cell r="G36">
            <v>95</v>
          </cell>
          <cell r="H36" t="str">
            <v>94±1</v>
          </cell>
          <cell r="I36">
            <v>500</v>
          </cell>
          <cell r="J36">
            <v>6655</v>
          </cell>
        </row>
        <row r="37">
          <cell r="A37" t="str">
            <v>NA-2740</v>
          </cell>
          <cell r="B37" t="str">
            <v>HOSE, WATER BY-PASS, NO. 2</v>
          </cell>
          <cell r="C37" t="str">
            <v>DTSB5501G-1F</v>
          </cell>
          <cell r="D37" t="str">
            <v>VIN WATER &gt; EPDM &lt; DATE</v>
          </cell>
          <cell r="E37">
            <v>16</v>
          </cell>
          <cell r="F37">
            <v>24</v>
          </cell>
          <cell r="G37">
            <v>248</v>
          </cell>
          <cell r="H37" t="str">
            <v>244±1</v>
          </cell>
          <cell r="I37">
            <v>100</v>
          </cell>
          <cell r="J37">
            <v>6655</v>
          </cell>
        </row>
        <row r="38">
          <cell r="A38" t="str">
            <v>NA-2750</v>
          </cell>
          <cell r="B38" t="str">
            <v>HOSE, WATER BY-PASS, NO. 1</v>
          </cell>
          <cell r="C38" t="str">
            <v>DTSB5501G-1F</v>
          </cell>
          <cell r="D38" t="str">
            <v>VIN WATER &gt; EPDM &lt; DATE</v>
          </cell>
          <cell r="E38">
            <v>16</v>
          </cell>
          <cell r="F38">
            <v>24</v>
          </cell>
          <cell r="G38">
            <v>258</v>
          </cell>
          <cell r="H38" t="str">
            <v>254±1</v>
          </cell>
          <cell r="I38">
            <v>100</v>
          </cell>
          <cell r="J38">
            <v>6655</v>
          </cell>
        </row>
        <row r="39">
          <cell r="A39" t="str">
            <v>NA-2770</v>
          </cell>
          <cell r="B39" t="str">
            <v>HOSE, WATER BY-PASS, NO. 1</v>
          </cell>
          <cell r="C39" t="str">
            <v>DTSB5501G-1F</v>
          </cell>
          <cell r="D39" t="str">
            <v>VIN WATER &gt; EPDM &lt; DATE</v>
          </cell>
          <cell r="E39">
            <v>13</v>
          </cell>
          <cell r="F39">
            <v>21</v>
          </cell>
          <cell r="G39">
            <v>326</v>
          </cell>
          <cell r="H39" t="str">
            <v>319±1</v>
          </cell>
          <cell r="I39">
            <v>50</v>
          </cell>
          <cell r="J39">
            <v>6655</v>
          </cell>
        </row>
        <row r="40">
          <cell r="A40" t="str">
            <v>NA-2800</v>
          </cell>
          <cell r="B40" t="str">
            <v>HOSE, WATER BY-PASS, NO. 2</v>
          </cell>
          <cell r="C40" t="str">
            <v>DTSB5501G-1F</v>
          </cell>
          <cell r="D40" t="str">
            <v>VIN WATER &gt; EPDM &lt; DATE</v>
          </cell>
          <cell r="E40">
            <v>13</v>
          </cell>
          <cell r="F40">
            <v>21</v>
          </cell>
          <cell r="G40">
            <v>305</v>
          </cell>
          <cell r="H40" t="str">
            <v>298±1</v>
          </cell>
          <cell r="I40">
            <v>50</v>
          </cell>
          <cell r="J40">
            <v>6655</v>
          </cell>
        </row>
        <row r="41">
          <cell r="A41" t="str">
            <v>NA-2830</v>
          </cell>
          <cell r="B41" t="str">
            <v>HOSE, WATER BY-PASS, NO. 1</v>
          </cell>
          <cell r="C41" t="str">
            <v>DTSB5501G-1F</v>
          </cell>
          <cell r="D41" t="str">
            <v>VIN WATER &gt; EPDM &lt; DATE</v>
          </cell>
          <cell r="E41">
            <v>13</v>
          </cell>
          <cell r="F41">
            <v>21</v>
          </cell>
          <cell r="G41">
            <v>381</v>
          </cell>
          <cell r="H41" t="str">
            <v>374±1</v>
          </cell>
          <cell r="I41">
            <v>50</v>
          </cell>
          <cell r="J41">
            <v>6655</v>
          </cell>
        </row>
        <row r="42">
          <cell r="A42" t="str">
            <v>NA-2900</v>
          </cell>
          <cell r="B42" t="str">
            <v>HOSE, FUEL TANK TO FILLER PIPE</v>
          </cell>
          <cell r="C42" t="str">
            <v>DTSM1647G-1C</v>
          </cell>
          <cell r="D42" t="str">
            <v>VIN &gt;NBR-PVC&lt; DATE</v>
          </cell>
          <cell r="E42">
            <v>34</v>
          </cell>
          <cell r="F42">
            <v>42</v>
          </cell>
          <cell r="G42">
            <v>310</v>
          </cell>
          <cell r="H42" t="str">
            <v>308±1</v>
          </cell>
          <cell r="I42">
            <v>20</v>
          </cell>
          <cell r="J42">
            <v>6653</v>
          </cell>
        </row>
        <row r="43">
          <cell r="A43" t="str">
            <v>NA-2920</v>
          </cell>
          <cell r="B43" t="str">
            <v>HOSE, WATER</v>
          </cell>
          <cell r="C43" t="str">
            <v>DTSB5501G-1F</v>
          </cell>
          <cell r="D43" t="str">
            <v>VIN WATER &gt; EPDM &lt; DATE</v>
          </cell>
          <cell r="E43">
            <v>13</v>
          </cell>
          <cell r="F43">
            <v>21</v>
          </cell>
          <cell r="G43">
            <v>743</v>
          </cell>
          <cell r="H43" t="str">
            <v>734±1</v>
          </cell>
          <cell r="I43">
            <v>50</v>
          </cell>
          <cell r="J43">
            <v>6688</v>
          </cell>
        </row>
        <row r="44">
          <cell r="A44" t="str">
            <v>NA-2930</v>
          </cell>
          <cell r="B44" t="str">
            <v>HOSE, WATER</v>
          </cell>
          <cell r="C44" t="str">
            <v>DTSB5501G-1F</v>
          </cell>
          <cell r="D44" t="str">
            <v>VIN WATER &gt; EPDM &lt; DATE</v>
          </cell>
          <cell r="E44">
            <v>13</v>
          </cell>
          <cell r="F44">
            <v>21</v>
          </cell>
          <cell r="G44">
            <v>843</v>
          </cell>
          <cell r="H44" t="str">
            <v>838±5</v>
          </cell>
          <cell r="I44">
            <v>50</v>
          </cell>
          <cell r="J44">
            <v>6688</v>
          </cell>
        </row>
        <row r="45">
          <cell r="A45" t="str">
            <v>NA-2950</v>
          </cell>
          <cell r="B45" t="str">
            <v>HOSE, WATER</v>
          </cell>
          <cell r="C45" t="str">
            <v>DTSB5501G-1F</v>
          </cell>
          <cell r="D45" t="str">
            <v>VIN WATER &gt; EPDM &lt; DATE</v>
          </cell>
          <cell r="E45">
            <v>13</v>
          </cell>
          <cell r="F45">
            <v>21</v>
          </cell>
          <cell r="G45">
            <v>858</v>
          </cell>
          <cell r="H45" t="str">
            <v>849±1</v>
          </cell>
          <cell r="I45">
            <v>50</v>
          </cell>
          <cell r="J45">
            <v>6688</v>
          </cell>
        </row>
        <row r="46">
          <cell r="A46" t="str">
            <v>NA-2960</v>
          </cell>
          <cell r="B46" t="str">
            <v>HOSE, WATER, NO. 2</v>
          </cell>
          <cell r="C46" t="str">
            <v>DTSB5501G-1F</v>
          </cell>
          <cell r="D46" t="str">
            <v>VIN WATER &gt; EPDM &lt; DATE</v>
          </cell>
          <cell r="E46">
            <v>13</v>
          </cell>
          <cell r="F46">
            <v>21</v>
          </cell>
          <cell r="G46">
            <v>391</v>
          </cell>
          <cell r="H46" t="str">
            <v>384±1</v>
          </cell>
          <cell r="I46">
            <v>50</v>
          </cell>
          <cell r="J46">
            <v>6655</v>
          </cell>
        </row>
        <row r="47">
          <cell r="A47" t="str">
            <v>NA-2970</v>
          </cell>
          <cell r="B47" t="str">
            <v>HOSE, WATER, NO. 2</v>
          </cell>
          <cell r="C47" t="str">
            <v>DTSB5501G-1F</v>
          </cell>
          <cell r="D47" t="str">
            <v>VIN WATER &gt; EPDM &lt; DATE</v>
          </cell>
          <cell r="E47">
            <v>13</v>
          </cell>
          <cell r="F47">
            <v>21</v>
          </cell>
          <cell r="G47">
            <v>461</v>
          </cell>
          <cell r="H47" t="str">
            <v>454±1</v>
          </cell>
          <cell r="I47">
            <v>50</v>
          </cell>
          <cell r="J47">
            <v>6655</v>
          </cell>
        </row>
        <row r="48">
          <cell r="A48" t="str">
            <v>NA-2980</v>
          </cell>
          <cell r="B48" t="str">
            <v>HOSE, WATER, NO. 2</v>
          </cell>
          <cell r="C48" t="str">
            <v>DTSB5501G-1F</v>
          </cell>
          <cell r="D48" t="str">
            <v>VIN WATER &gt; EPDM &lt; DATE</v>
          </cell>
          <cell r="E48">
            <v>13</v>
          </cell>
          <cell r="F48">
            <v>21</v>
          </cell>
          <cell r="G48">
            <v>579</v>
          </cell>
          <cell r="H48" t="str">
            <v>570±1</v>
          </cell>
          <cell r="I48">
            <v>50</v>
          </cell>
          <cell r="J48">
            <v>6655</v>
          </cell>
        </row>
        <row r="49">
          <cell r="A49" t="str">
            <v>NA-3000 (1)</v>
          </cell>
          <cell r="B49" t="str">
            <v>HOSE, WATER BY-PASS, NO. 1</v>
          </cell>
          <cell r="C49" t="str">
            <v>DTSB5501G-1F</v>
          </cell>
          <cell r="D49" t="str">
            <v>VIN WATER &gt; EPDM &lt; DATE</v>
          </cell>
          <cell r="E49">
            <v>16</v>
          </cell>
          <cell r="F49">
            <v>24</v>
          </cell>
          <cell r="G49">
            <v>392</v>
          </cell>
          <cell r="H49" t="str">
            <v>388±1</v>
          </cell>
          <cell r="I49">
            <v>50</v>
          </cell>
          <cell r="J49">
            <v>6655</v>
          </cell>
        </row>
        <row r="50">
          <cell r="A50" t="str">
            <v>NA-3000 (2)</v>
          </cell>
          <cell r="B50" t="str">
            <v>HOSE, WATER BY-PASS, NO. 2</v>
          </cell>
          <cell r="C50" t="str">
            <v>DTSB5501G-1F</v>
          </cell>
          <cell r="D50" t="str">
            <v>VIN WATER &gt; EPDM &lt; DATE</v>
          </cell>
          <cell r="E50">
            <v>16</v>
          </cell>
          <cell r="F50">
            <v>24</v>
          </cell>
          <cell r="G50">
            <v>248</v>
          </cell>
          <cell r="H50" t="str">
            <v>244±1</v>
          </cell>
          <cell r="I50">
            <v>100</v>
          </cell>
          <cell r="J50">
            <v>6655</v>
          </cell>
        </row>
        <row r="51">
          <cell r="A51" t="str">
            <v>NA-3030 (1)</v>
          </cell>
          <cell r="B51" t="str">
            <v>HOSE, WATER BY-PASS, NO. 1</v>
          </cell>
          <cell r="C51" t="str">
            <v>DTSB5501G-1F</v>
          </cell>
          <cell r="D51" t="str">
            <v>VIN WATER &gt; EPDM &lt; DATE</v>
          </cell>
          <cell r="E51">
            <v>16</v>
          </cell>
          <cell r="F51">
            <v>24</v>
          </cell>
          <cell r="G51">
            <v>258</v>
          </cell>
          <cell r="H51" t="str">
            <v>254±1</v>
          </cell>
          <cell r="I51">
            <v>100</v>
          </cell>
          <cell r="J51">
            <v>6655</v>
          </cell>
        </row>
        <row r="52">
          <cell r="A52" t="str">
            <v>NA-3030 (2)</v>
          </cell>
          <cell r="B52" t="str">
            <v>HOSE, WATER BY-PASS, NO. 3</v>
          </cell>
          <cell r="C52" t="str">
            <v>DTSB5501G-1F</v>
          </cell>
          <cell r="D52" t="str">
            <v>-</v>
          </cell>
          <cell r="E52">
            <v>7.5</v>
          </cell>
          <cell r="F52">
            <v>14.5</v>
          </cell>
          <cell r="G52">
            <v>95</v>
          </cell>
          <cell r="H52" t="str">
            <v>94±1</v>
          </cell>
          <cell r="I52">
            <v>500</v>
          </cell>
          <cell r="J52">
            <v>6655</v>
          </cell>
        </row>
        <row r="53">
          <cell r="A53" t="str">
            <v>NA-3040</v>
          </cell>
          <cell r="B53" t="str">
            <v>HOSE, WATER BY-PASS, NO. 2</v>
          </cell>
          <cell r="C53" t="str">
            <v>DTSB5501G-1F</v>
          </cell>
          <cell r="D53" t="str">
            <v>VIN WATER &gt; EPDM &lt; DATE</v>
          </cell>
          <cell r="E53">
            <v>16</v>
          </cell>
          <cell r="F53">
            <v>24</v>
          </cell>
          <cell r="G53">
            <v>248</v>
          </cell>
          <cell r="H53" t="str">
            <v>244±1</v>
          </cell>
          <cell r="I53">
            <v>100</v>
          </cell>
          <cell r="J53">
            <v>6655</v>
          </cell>
        </row>
        <row r="54">
          <cell r="A54" t="str">
            <v>NA-3070</v>
          </cell>
          <cell r="B54" t="str">
            <v>HOSE, WATER, NO. 2</v>
          </cell>
          <cell r="C54" t="str">
            <v>DTSB5501G-1F</v>
          </cell>
          <cell r="D54" t="str">
            <v>VIN WATER &gt; EPDM &lt; DATE</v>
          </cell>
          <cell r="E54">
            <v>13</v>
          </cell>
          <cell r="F54">
            <v>21</v>
          </cell>
          <cell r="G54">
            <v>568</v>
          </cell>
          <cell r="H54" t="str">
            <v>563±1</v>
          </cell>
          <cell r="I54">
            <v>50</v>
          </cell>
          <cell r="J54">
            <v>6655</v>
          </cell>
        </row>
        <row r="55">
          <cell r="A55" t="str">
            <v>NA-3080</v>
          </cell>
          <cell r="B55" t="str">
            <v>HOSE, RADIATOR NO. 2</v>
          </cell>
          <cell r="C55" t="str">
            <v>DTSB5501G-1F</v>
          </cell>
          <cell r="D55" t="str">
            <v>VIN WATER &gt; EPDM &lt; DATE</v>
          </cell>
          <cell r="E55">
            <v>26.5</v>
          </cell>
          <cell r="F55">
            <v>34.5</v>
          </cell>
          <cell r="G55">
            <v>680</v>
          </cell>
          <cell r="H55" t="str">
            <v>670±1</v>
          </cell>
          <cell r="I55">
            <v>50</v>
          </cell>
          <cell r="J55">
            <v>6688</v>
          </cell>
        </row>
        <row r="56">
          <cell r="A56" t="str">
            <v>NA-3090</v>
          </cell>
          <cell r="B56" t="str">
            <v>HOSE, WATER</v>
          </cell>
          <cell r="C56" t="str">
            <v>DTSB5501G-1F</v>
          </cell>
          <cell r="D56" t="str">
            <v>VIN WATER &gt; EPDM &lt; DATE</v>
          </cell>
          <cell r="E56">
            <v>13</v>
          </cell>
          <cell r="F56">
            <v>21</v>
          </cell>
          <cell r="G56">
            <v>400</v>
          </cell>
          <cell r="H56" t="str">
            <v>395±1</v>
          </cell>
          <cell r="I56">
            <v>50</v>
          </cell>
          <cell r="J56">
            <v>6655</v>
          </cell>
        </row>
        <row r="57">
          <cell r="A57" t="str">
            <v>NA-3100</v>
          </cell>
          <cell r="B57" t="str">
            <v>HOSE, RADIATOR NO. 2</v>
          </cell>
          <cell r="C57" t="str">
            <v>DTSB5501G-1F</v>
          </cell>
          <cell r="D57" t="str">
            <v>VIN WATER &gt; EPDM &lt; DATE</v>
          </cell>
          <cell r="E57">
            <v>26.5</v>
          </cell>
          <cell r="F57">
            <v>34.5</v>
          </cell>
          <cell r="G57">
            <v>640</v>
          </cell>
          <cell r="H57" t="str">
            <v>628±1</v>
          </cell>
          <cell r="I57">
            <v>50</v>
          </cell>
          <cell r="J57">
            <v>6655</v>
          </cell>
        </row>
        <row r="58">
          <cell r="A58" t="str">
            <v>NA-3110</v>
          </cell>
          <cell r="B58" t="str">
            <v>HOSE, RADIATOR NO. 2</v>
          </cell>
          <cell r="C58" t="str">
            <v>DTSB5501G-1F</v>
          </cell>
          <cell r="D58" t="str">
            <v>VIN WATER &gt; EPDM &lt; DATE</v>
          </cell>
          <cell r="E58">
            <v>26.5</v>
          </cell>
          <cell r="F58">
            <v>34.5</v>
          </cell>
          <cell r="G58">
            <v>640</v>
          </cell>
          <cell r="H58" t="str">
            <v>638±1</v>
          </cell>
          <cell r="I58">
            <v>50</v>
          </cell>
          <cell r="J58">
            <v>6688</v>
          </cell>
        </row>
        <row r="59">
          <cell r="A59" t="str">
            <v>NA-3120</v>
          </cell>
          <cell r="B59" t="str">
            <v>HOSE, WATER</v>
          </cell>
          <cell r="C59" t="str">
            <v>DTSB5501G-1F</v>
          </cell>
          <cell r="D59" t="str">
            <v>VIN WATER &gt; EPDM &lt; DATE</v>
          </cell>
          <cell r="E59">
            <v>13</v>
          </cell>
          <cell r="F59">
            <v>21</v>
          </cell>
          <cell r="G59">
            <v>404</v>
          </cell>
          <cell r="H59" t="str">
            <v>401±1</v>
          </cell>
          <cell r="I59">
            <v>50</v>
          </cell>
          <cell r="J59">
            <v>6655</v>
          </cell>
        </row>
        <row r="60">
          <cell r="A60" t="str">
            <v>NA-3150</v>
          </cell>
          <cell r="B60" t="str">
            <v>HOSE, WATER, NO. 2</v>
          </cell>
          <cell r="C60" t="str">
            <v>DTSB5501G-1F</v>
          </cell>
          <cell r="D60" t="str">
            <v>VIN WATER &gt; EPDM &lt; DATE</v>
          </cell>
          <cell r="E60">
            <v>13</v>
          </cell>
          <cell r="F60">
            <v>21</v>
          </cell>
          <cell r="G60">
            <v>615</v>
          </cell>
          <cell r="H60" t="str">
            <v>612±1</v>
          </cell>
        </row>
        <row r="61">
          <cell r="A61" t="str">
            <v>NA-3280</v>
          </cell>
          <cell r="B61" t="str">
            <v>HOSE, WATER, NO. 2</v>
          </cell>
          <cell r="C61" t="str">
            <v>DTSB5501G-1F</v>
          </cell>
          <cell r="D61" t="str">
            <v>VIN WATER &gt; EPDM &lt; DATE</v>
          </cell>
          <cell r="E61">
            <v>13</v>
          </cell>
          <cell r="F61">
            <v>21</v>
          </cell>
          <cell r="G61">
            <v>664</v>
          </cell>
          <cell r="H61" t="str">
            <v>660±1</v>
          </cell>
          <cell r="I61">
            <v>50</v>
          </cell>
          <cell r="J61">
            <v>6688</v>
          </cell>
        </row>
        <row r="62">
          <cell r="A62" t="str">
            <v>NA-3291</v>
          </cell>
          <cell r="B62" t="str">
            <v>HOSE, WATER, NO. 2</v>
          </cell>
          <cell r="C62" t="str">
            <v>DTSB5501G-1F</v>
          </cell>
          <cell r="D62" t="str">
            <v>VIN WATER &gt; EPDM &lt; DATE</v>
          </cell>
          <cell r="E62">
            <v>13</v>
          </cell>
          <cell r="F62">
            <v>21</v>
          </cell>
          <cell r="G62">
            <v>259</v>
          </cell>
          <cell r="H62" t="str">
            <v>255±1</v>
          </cell>
          <cell r="I62">
            <v>50</v>
          </cell>
          <cell r="J62">
            <v>6655</v>
          </cell>
        </row>
        <row r="63">
          <cell r="A63" t="str">
            <v>HN-0300</v>
          </cell>
          <cell r="B63" t="str">
            <v>Hose Oil Reservoir</v>
          </cell>
          <cell r="C63" t="str">
            <v>-</v>
          </cell>
          <cell r="D63" t="str">
            <v>-</v>
          </cell>
          <cell r="E63">
            <v>19</v>
          </cell>
          <cell r="F63">
            <v>21</v>
          </cell>
          <cell r="G63">
            <v>1000</v>
          </cell>
          <cell r="H63" t="str">
            <v>995±1</v>
          </cell>
          <cell r="I63">
            <v>12</v>
          </cell>
          <cell r="J63">
            <v>6688</v>
          </cell>
        </row>
        <row r="64">
          <cell r="A64" t="str">
            <v>NA-3292</v>
          </cell>
          <cell r="B64" t="str">
            <v>HOSE, WATER, NO. 2</v>
          </cell>
          <cell r="C64" t="str">
            <v>DTSB5501G-1F</v>
          </cell>
          <cell r="D64" t="str">
            <v>VIN WATER &gt; EPDM &lt; DATE</v>
          </cell>
          <cell r="E64">
            <v>13</v>
          </cell>
          <cell r="F64">
            <v>21</v>
          </cell>
          <cell r="G64">
            <v>531</v>
          </cell>
          <cell r="H64" t="str">
            <v>527±1</v>
          </cell>
          <cell r="I64">
            <v>50</v>
          </cell>
          <cell r="J64">
            <v>6655</v>
          </cell>
        </row>
        <row r="65">
          <cell r="A65" t="str">
            <v>NA-3300</v>
          </cell>
          <cell r="B65" t="str">
            <v>HOSE SUB-ASSY, WATER</v>
          </cell>
          <cell r="C65" t="str">
            <v>DTSB5501G-1F</v>
          </cell>
          <cell r="D65" t="str">
            <v>VIN WATER &gt; EPDM &lt; DATE</v>
          </cell>
          <cell r="E65">
            <v>13</v>
          </cell>
          <cell r="F65">
            <v>21</v>
          </cell>
          <cell r="G65">
            <v>664</v>
          </cell>
          <cell r="H65" t="str">
            <v>660±1</v>
          </cell>
          <cell r="I65">
            <v>50</v>
          </cell>
          <cell r="J65">
            <v>6655</v>
          </cell>
        </row>
        <row r="66">
          <cell r="A66" t="str">
            <v>NA-3301</v>
          </cell>
          <cell r="B66" t="str">
            <v>HOSE, WATER</v>
          </cell>
          <cell r="C66" t="str">
            <v>DTSB5501G-1F</v>
          </cell>
          <cell r="D66" t="str">
            <v>VIN WATER &gt; EPDM &lt; DATE</v>
          </cell>
          <cell r="E66">
            <v>13</v>
          </cell>
          <cell r="F66">
            <v>21</v>
          </cell>
          <cell r="G66">
            <v>614</v>
          </cell>
          <cell r="H66" t="str">
            <v>610±1</v>
          </cell>
          <cell r="I66">
            <v>50</v>
          </cell>
          <cell r="J66">
            <v>6655</v>
          </cell>
        </row>
        <row r="67">
          <cell r="A67" t="str">
            <v>NA-3320</v>
          </cell>
          <cell r="B67" t="str">
            <v>HOSE, WATER BY-PASS, NO. 2</v>
          </cell>
          <cell r="C67" t="str">
            <v>DTSM1677G-1F</v>
          </cell>
          <cell r="D67" t="str">
            <v>VIN WATER &gt; EPDM &lt; DATE</v>
          </cell>
          <cell r="E67">
            <v>13</v>
          </cell>
          <cell r="F67">
            <v>21</v>
          </cell>
          <cell r="G67">
            <v>354</v>
          </cell>
          <cell r="H67" t="str">
            <v>351±1</v>
          </cell>
          <cell r="I67">
            <v>50</v>
          </cell>
          <cell r="J67">
            <v>6655</v>
          </cell>
        </row>
        <row r="68">
          <cell r="A68" t="str">
            <v>NA-3330</v>
          </cell>
          <cell r="B68" t="str">
            <v>HOSE, ASSY WATER BY-PASS, NO. 2</v>
          </cell>
          <cell r="C68" t="str">
            <v>DTSM1662G-2A</v>
          </cell>
          <cell r="D68" t="str">
            <v>-</v>
          </cell>
          <cell r="E68">
            <v>7.5</v>
          </cell>
          <cell r="F68">
            <v>14.5</v>
          </cell>
          <cell r="G68">
            <v>112</v>
          </cell>
          <cell r="H68" t="str">
            <v>110±1</v>
          </cell>
        </row>
        <row r="69">
          <cell r="A69" t="str">
            <v>NA-3340</v>
          </cell>
          <cell r="B69" t="str">
            <v>HOSE, VENTILATION, NO. 3</v>
          </cell>
          <cell r="C69" t="str">
            <v>DTSM1662G-2A</v>
          </cell>
          <cell r="D69" t="str">
            <v>-</v>
          </cell>
          <cell r="E69">
            <v>11</v>
          </cell>
          <cell r="F69">
            <v>18</v>
          </cell>
          <cell r="G69">
            <v>396</v>
          </cell>
          <cell r="H69" t="str">
            <v>385±1</v>
          </cell>
          <cell r="I69">
            <v>50</v>
          </cell>
          <cell r="J69">
            <v>6655</v>
          </cell>
        </row>
        <row r="70">
          <cell r="A70" t="str">
            <v>NA-3370</v>
          </cell>
          <cell r="B70" t="str">
            <v>HOSE, WATER , NO. 2</v>
          </cell>
          <cell r="C70" t="str">
            <v>DTSB5501G-1F</v>
          </cell>
          <cell r="D70" t="str">
            <v>VIN WATER &gt; EPDM &lt; DATE</v>
          </cell>
          <cell r="E70">
            <v>13</v>
          </cell>
          <cell r="F70">
            <v>21</v>
          </cell>
          <cell r="G70">
            <v>165</v>
          </cell>
          <cell r="H70" t="str">
            <v>161±1</v>
          </cell>
        </row>
        <row r="71">
          <cell r="A71" t="str">
            <v>PM-1110</v>
          </cell>
          <cell r="B71" t="str">
            <v>HOSE, RADIATOR OUTLET</v>
          </cell>
          <cell r="C71" t="str">
            <v>ISD-V01-003Y</v>
          </cell>
          <cell r="D71" t="str">
            <v>VIN WATER &gt; EPDM &lt; DATE</v>
          </cell>
          <cell r="E71">
            <v>37</v>
          </cell>
          <cell r="F71">
            <v>47</v>
          </cell>
          <cell r="G71">
            <v>420</v>
          </cell>
          <cell r="H71" t="str">
            <v>418±1</v>
          </cell>
          <cell r="I71">
            <v>24</v>
          </cell>
          <cell r="J71">
            <v>6655</v>
          </cell>
        </row>
        <row r="72">
          <cell r="A72" t="str">
            <v>PM-1220</v>
          </cell>
          <cell r="B72" t="str">
            <v>HOSE, GUIDE TUBE OIL LEVEL</v>
          </cell>
          <cell r="C72" t="str">
            <v>ISD-V01-003Y</v>
          </cell>
          <cell r="D72" t="str">
            <v>-</v>
          </cell>
          <cell r="E72">
            <v>11</v>
          </cell>
          <cell r="F72">
            <v>19.5</v>
          </cell>
          <cell r="G72">
            <v>420</v>
          </cell>
          <cell r="H72" t="str">
            <v>405±1</v>
          </cell>
          <cell r="I72">
            <v>50</v>
          </cell>
          <cell r="J72">
            <v>6655</v>
          </cell>
        </row>
        <row r="73">
          <cell r="A73" t="str">
            <v>PM-1230</v>
          </cell>
          <cell r="B73" t="str">
            <v>HOSE; WATER BENT</v>
          </cell>
          <cell r="C73" t="str">
            <v>ISD-V01-003Y CLASS 2</v>
          </cell>
          <cell r="D73" t="str">
            <v>VIN WATER &gt; EPDM &lt; DATE</v>
          </cell>
          <cell r="E73">
            <v>37</v>
          </cell>
          <cell r="F73">
            <v>47</v>
          </cell>
          <cell r="G73">
            <v>437</v>
          </cell>
          <cell r="H73" t="str">
            <v>430±1</v>
          </cell>
          <cell r="I73">
            <v>24</v>
          </cell>
          <cell r="J73">
            <v>6655</v>
          </cell>
        </row>
        <row r="74">
          <cell r="A74" t="str">
            <v>PM-1270</v>
          </cell>
          <cell r="B74" t="str">
            <v>HOSE; RADIATOR TOP</v>
          </cell>
          <cell r="C74" t="str">
            <v>ISD-V01-003Y CLASS 2</v>
          </cell>
          <cell r="D74" t="str">
            <v>VIN WATER &gt; EPDM &lt; DATE</v>
          </cell>
          <cell r="E74">
            <v>37</v>
          </cell>
          <cell r="F74">
            <v>47</v>
          </cell>
          <cell r="G74">
            <v>384</v>
          </cell>
          <cell r="H74" t="str">
            <v>382±1</v>
          </cell>
          <cell r="I74">
            <v>24</v>
          </cell>
          <cell r="J74">
            <v>6655</v>
          </cell>
        </row>
        <row r="75">
          <cell r="A75" t="str">
            <v>PM-1280</v>
          </cell>
          <cell r="B75" t="str">
            <v>HOSE; RADIATOR BOTTOM</v>
          </cell>
          <cell r="C75" t="str">
            <v>ISD-V01-003Y CLASS 2</v>
          </cell>
          <cell r="D75" t="str">
            <v>VIN WATER &gt; EPDM &lt; DATE</v>
          </cell>
          <cell r="E75">
            <v>37</v>
          </cell>
          <cell r="F75">
            <v>47</v>
          </cell>
          <cell r="G75">
            <v>509</v>
          </cell>
          <cell r="H75" t="str">
            <v>508±1</v>
          </cell>
          <cell r="I75">
            <v>24</v>
          </cell>
          <cell r="J75">
            <v>6655</v>
          </cell>
        </row>
        <row r="76">
          <cell r="A76" t="str">
            <v>PM-1430</v>
          </cell>
          <cell r="B76" t="str">
            <v>HOSE; BY PASS</v>
          </cell>
          <cell r="C76" t="str">
            <v>ISD-V01-003Y CLASS 2</v>
          </cell>
          <cell r="D76" t="str">
            <v>VIN WATER &gt; EPDM &lt; DATE</v>
          </cell>
          <cell r="E76">
            <v>21</v>
          </cell>
          <cell r="F76">
            <v>29</v>
          </cell>
          <cell r="G76">
            <v>215</v>
          </cell>
          <cell r="H76" t="str">
            <v>213±2</v>
          </cell>
          <cell r="I76">
            <v>24</v>
          </cell>
          <cell r="J76">
            <v>6655</v>
          </cell>
        </row>
        <row r="77">
          <cell r="A77" t="str">
            <v>TA-0570</v>
          </cell>
          <cell r="B77" t="str">
            <v>HOSE, FUEL TANK TO FILLER PIPE</v>
          </cell>
          <cell r="C77" t="str">
            <v>TSM1647G-1C</v>
          </cell>
          <cell r="D77" t="str">
            <v>VIN &gt; NBR-PVC &lt; DATE</v>
          </cell>
          <cell r="E77">
            <v>34</v>
          </cell>
          <cell r="F77">
            <v>44</v>
          </cell>
          <cell r="G77">
            <v>366</v>
          </cell>
          <cell r="H77" t="str">
            <v>366±2</v>
          </cell>
          <cell r="I77">
            <v>16</v>
          </cell>
          <cell r="J77">
            <v>2011</v>
          </cell>
        </row>
        <row r="78">
          <cell r="A78" t="str">
            <v>TA-1040</v>
          </cell>
          <cell r="B78" t="str">
            <v>HOSE, WATER BY-PASS NO. 4</v>
          </cell>
          <cell r="C78" t="str">
            <v>TSB5501G-1F</v>
          </cell>
          <cell r="D78" t="str">
            <v>VIN WATER &gt; EPDM &lt; DATE</v>
          </cell>
          <cell r="E78">
            <v>13</v>
          </cell>
          <cell r="F78">
            <v>21</v>
          </cell>
          <cell r="G78">
            <v>281</v>
          </cell>
          <cell r="H78" t="str">
            <v>274±1</v>
          </cell>
          <cell r="I78">
            <v>50</v>
          </cell>
          <cell r="J78">
            <v>6655</v>
          </cell>
        </row>
        <row r="79">
          <cell r="A79" t="str">
            <v>TA-1050</v>
          </cell>
          <cell r="B79" t="str">
            <v>HOSE, WATER BY-PASS NO. 5</v>
          </cell>
          <cell r="C79" t="str">
            <v>TSB5501G-1F</v>
          </cell>
          <cell r="D79" t="str">
            <v>VIN WATER &gt; EPDM &lt; DATE</v>
          </cell>
          <cell r="E79">
            <v>13</v>
          </cell>
          <cell r="F79">
            <v>21</v>
          </cell>
          <cell r="G79">
            <v>206</v>
          </cell>
          <cell r="H79" t="str">
            <v>199±1</v>
          </cell>
          <cell r="I79">
            <v>50</v>
          </cell>
          <cell r="J79">
            <v>6655</v>
          </cell>
        </row>
        <row r="80">
          <cell r="A80" t="str">
            <v>TA-1330</v>
          </cell>
          <cell r="B80" t="str">
            <v>HOSE, WATER BY-PASS NO. 1</v>
          </cell>
          <cell r="C80" t="str">
            <v>TSB5501G-1E</v>
          </cell>
          <cell r="D80" t="str">
            <v>-</v>
          </cell>
          <cell r="E80">
            <v>11</v>
          </cell>
          <cell r="F80">
            <v>18</v>
          </cell>
          <cell r="G80">
            <v>191</v>
          </cell>
          <cell r="H80" t="str">
            <v>187±1</v>
          </cell>
          <cell r="I80">
            <v>100</v>
          </cell>
          <cell r="J80">
            <v>6655</v>
          </cell>
        </row>
        <row r="81">
          <cell r="A81" t="str">
            <v>TA-1340</v>
          </cell>
          <cell r="B81" t="str">
            <v>HOSE, RADIATOR NO. 1</v>
          </cell>
          <cell r="C81" t="str">
            <v>TSB5501G-1E</v>
          </cell>
          <cell r="D81" t="str">
            <v>VIN WATER &gt; EPDM &lt; DATE</v>
          </cell>
          <cell r="E81">
            <v>33</v>
          </cell>
          <cell r="F81">
            <v>42</v>
          </cell>
          <cell r="G81">
            <v>305</v>
          </cell>
          <cell r="H81" t="str">
            <v>304±1</v>
          </cell>
          <cell r="I81">
            <v>24</v>
          </cell>
          <cell r="J81">
            <v>6655</v>
          </cell>
        </row>
        <row r="82">
          <cell r="A82" t="str">
            <v>TA-1350</v>
          </cell>
          <cell r="B82" t="str">
            <v>HOSE, RADIATOR NO. 2</v>
          </cell>
          <cell r="C82" t="str">
            <v>TSB5501G-1E</v>
          </cell>
          <cell r="D82" t="str">
            <v>VIN WATER &gt; EPDM &lt; DATE</v>
          </cell>
          <cell r="E82">
            <v>33</v>
          </cell>
          <cell r="F82">
            <v>42</v>
          </cell>
          <cell r="G82">
            <v>750</v>
          </cell>
          <cell r="H82" t="str">
            <v>749±1</v>
          </cell>
          <cell r="I82">
            <v>24</v>
          </cell>
          <cell r="J82">
            <v>6688</v>
          </cell>
        </row>
        <row r="83">
          <cell r="A83" t="str">
            <v>TA-1420</v>
          </cell>
          <cell r="B83" t="str">
            <v>HOSE, RADIATOR NO. 1</v>
          </cell>
          <cell r="C83" t="str">
            <v>TSB5501G-1E</v>
          </cell>
          <cell r="D83" t="str">
            <v>VIN WATER &gt; EPDM &lt; DATE</v>
          </cell>
          <cell r="E83">
            <v>33</v>
          </cell>
          <cell r="F83">
            <v>42</v>
          </cell>
          <cell r="G83">
            <v>481</v>
          </cell>
          <cell r="H83" t="str">
            <v>480±1</v>
          </cell>
          <cell r="I83">
            <v>24</v>
          </cell>
          <cell r="J83">
            <v>6655</v>
          </cell>
        </row>
        <row r="84">
          <cell r="A84" t="str">
            <v>TA-1430</v>
          </cell>
          <cell r="B84" t="str">
            <v>HOSE, RADIATOR NO. 1</v>
          </cell>
          <cell r="C84" t="str">
            <v>TSB5501G-1E</v>
          </cell>
          <cell r="D84" t="str">
            <v>VIN WATER &gt; EPDM &lt; DATE</v>
          </cell>
          <cell r="E84">
            <v>37</v>
          </cell>
          <cell r="F84">
            <v>47</v>
          </cell>
          <cell r="G84">
            <v>275</v>
          </cell>
          <cell r="H84" t="str">
            <v>274±1</v>
          </cell>
          <cell r="I84">
            <v>24</v>
          </cell>
          <cell r="J84">
            <v>6655</v>
          </cell>
        </row>
        <row r="85">
          <cell r="A85" t="str">
            <v>TA-1440</v>
          </cell>
          <cell r="B85" t="str">
            <v>HOSE, RADIATOR NO. 1</v>
          </cell>
          <cell r="C85" t="str">
            <v>TSB5501G-1E</v>
          </cell>
          <cell r="D85" t="str">
            <v>VIN WATER &gt; EPDM &lt; DATE</v>
          </cell>
          <cell r="E85">
            <v>37</v>
          </cell>
          <cell r="F85">
            <v>47</v>
          </cell>
          <cell r="G85">
            <v>309</v>
          </cell>
          <cell r="H85" t="str">
            <v>308±1</v>
          </cell>
          <cell r="I85">
            <v>24</v>
          </cell>
          <cell r="J85">
            <v>6655</v>
          </cell>
        </row>
        <row r="86">
          <cell r="A86" t="str">
            <v>TA-1450</v>
          </cell>
          <cell r="B86" t="str">
            <v>HOSE, RADIATOR NO. 2</v>
          </cell>
          <cell r="C86" t="str">
            <v>TSB5501G-1E</v>
          </cell>
          <cell r="D86" t="str">
            <v>VIN WATER &gt; EPDM &lt; DATE</v>
          </cell>
          <cell r="E86">
            <v>33</v>
          </cell>
          <cell r="F86">
            <v>42</v>
          </cell>
          <cell r="G86">
            <v>716</v>
          </cell>
          <cell r="H86" t="str">
            <v>715±1</v>
          </cell>
          <cell r="I86">
            <v>24</v>
          </cell>
          <cell r="J86">
            <v>6688</v>
          </cell>
        </row>
        <row r="87">
          <cell r="A87" t="str">
            <v>TA-1460</v>
          </cell>
          <cell r="B87" t="str">
            <v>HOSE, RADIATOR NO. 2</v>
          </cell>
          <cell r="C87" t="str">
            <v>TSB5501G-1E</v>
          </cell>
          <cell r="D87" t="str">
            <v>VIN WATER &gt; EPDM &lt; DATE</v>
          </cell>
          <cell r="E87">
            <v>37</v>
          </cell>
          <cell r="F87">
            <v>47</v>
          </cell>
          <cell r="G87">
            <v>370</v>
          </cell>
          <cell r="H87" t="str">
            <v>369±1</v>
          </cell>
          <cell r="I87">
            <v>24</v>
          </cell>
          <cell r="J87">
            <v>6655</v>
          </cell>
        </row>
        <row r="88">
          <cell r="A88" t="str">
            <v>TA-1470</v>
          </cell>
          <cell r="B88" t="str">
            <v>HOSE, RADIATOR NO. 2</v>
          </cell>
          <cell r="C88" t="str">
            <v>TSB5501G-1E</v>
          </cell>
          <cell r="D88" t="str">
            <v>VIN WATER &gt; EPDM &lt; DATE</v>
          </cell>
          <cell r="E88">
            <v>37</v>
          </cell>
          <cell r="F88">
            <v>47</v>
          </cell>
          <cell r="G88">
            <v>314</v>
          </cell>
          <cell r="H88" t="str">
            <v>313±1</v>
          </cell>
          <cell r="I88">
            <v>24</v>
          </cell>
          <cell r="J88">
            <v>6655</v>
          </cell>
        </row>
        <row r="89">
          <cell r="A89" t="str">
            <v>TA-1670</v>
          </cell>
          <cell r="B89" t="str">
            <v>HOSE, WATER BY-PASS NO. 1</v>
          </cell>
          <cell r="C89" t="str">
            <v>TSB5501G-1E</v>
          </cell>
          <cell r="D89" t="str">
            <v>VIN WATER &gt; EPDM &lt; DATE</v>
          </cell>
          <cell r="E89">
            <v>21</v>
          </cell>
          <cell r="F89">
            <v>29</v>
          </cell>
          <cell r="G89">
            <v>290</v>
          </cell>
          <cell r="H89" t="str">
            <v>289±1</v>
          </cell>
          <cell r="I89">
            <v>100</v>
          </cell>
          <cell r="J89">
            <v>6655</v>
          </cell>
        </row>
        <row r="90">
          <cell r="A90" t="str">
            <v>TA-1680</v>
          </cell>
          <cell r="B90" t="str">
            <v>HOSE, WATER BY-PASS NO. 2</v>
          </cell>
          <cell r="C90" t="str">
            <v>TSB5501G-1E</v>
          </cell>
          <cell r="D90" t="str">
            <v>-</v>
          </cell>
          <cell r="E90">
            <v>7.5</v>
          </cell>
          <cell r="F90">
            <v>14.5</v>
          </cell>
          <cell r="G90">
            <v>207</v>
          </cell>
          <cell r="H90" t="str">
            <v>202±2</v>
          </cell>
          <cell r="I90">
            <v>100</v>
          </cell>
          <cell r="J90">
            <v>6655</v>
          </cell>
        </row>
        <row r="91">
          <cell r="A91" t="str">
            <v>TA-1690</v>
          </cell>
          <cell r="B91" t="str">
            <v>HOSE, WATER BY-PASS NO. 3</v>
          </cell>
          <cell r="C91" t="str">
            <v>TSB5501G-1E</v>
          </cell>
          <cell r="D91" t="str">
            <v>-</v>
          </cell>
          <cell r="E91">
            <v>7.5</v>
          </cell>
          <cell r="F91">
            <v>14.5</v>
          </cell>
          <cell r="G91">
            <v>478</v>
          </cell>
          <cell r="H91" t="str">
            <v>467±1</v>
          </cell>
          <cell r="I91">
            <v>100</v>
          </cell>
          <cell r="J91">
            <v>6655</v>
          </cell>
        </row>
        <row r="92">
          <cell r="A92" t="str">
            <v>TA-1771</v>
          </cell>
          <cell r="B92" t="str">
            <v>HOSE, PIPE-ASSY WATER BY-PASS (1)</v>
          </cell>
          <cell r="C92" t="str">
            <v>TSB5501G-1E</v>
          </cell>
          <cell r="D92" t="str">
            <v>VIN WATER &gt; EPDM &lt; DATE</v>
          </cell>
          <cell r="E92">
            <v>13</v>
          </cell>
          <cell r="F92">
            <v>21</v>
          </cell>
          <cell r="G92">
            <v>191</v>
          </cell>
          <cell r="H92" t="str">
            <v>187±1</v>
          </cell>
          <cell r="I92">
            <v>100</v>
          </cell>
          <cell r="J92">
            <v>6655</v>
          </cell>
        </row>
        <row r="93">
          <cell r="A93" t="str">
            <v>TA-1772</v>
          </cell>
          <cell r="B93" t="str">
            <v>HOSE, PIPE-ASSY WATER BY-PASS (2)</v>
          </cell>
          <cell r="C93" t="str">
            <v>TSB5501G-1E</v>
          </cell>
          <cell r="D93" t="str">
            <v>VIN WATER &gt; EPDM &lt; DATE</v>
          </cell>
          <cell r="E93">
            <v>13</v>
          </cell>
          <cell r="F93">
            <v>21</v>
          </cell>
          <cell r="G93">
            <v>218</v>
          </cell>
          <cell r="H93" t="str">
            <v>214±1</v>
          </cell>
          <cell r="I93">
            <v>100</v>
          </cell>
          <cell r="J93">
            <v>6655</v>
          </cell>
        </row>
        <row r="94">
          <cell r="A94" t="str">
            <v>TA-1773</v>
          </cell>
          <cell r="B94" t="str">
            <v>HOSE, PIPE-ASSY WATER BY-PASS (3)</v>
          </cell>
          <cell r="C94" t="str">
            <v>TSB5501G-1E</v>
          </cell>
          <cell r="D94" t="str">
            <v>VIN WATER &gt; EPDM &lt; DATE</v>
          </cell>
          <cell r="E94">
            <v>16</v>
          </cell>
          <cell r="F94">
            <v>24</v>
          </cell>
          <cell r="G94">
            <v>189</v>
          </cell>
          <cell r="H94" t="str">
            <v>184±1</v>
          </cell>
          <cell r="I94">
            <v>50</v>
          </cell>
          <cell r="J94">
            <v>6655</v>
          </cell>
        </row>
        <row r="95">
          <cell r="A95" t="str">
            <v>TA-1774</v>
          </cell>
          <cell r="B95" t="str">
            <v>HOSE, PIPE-ASSY WATER BY-PASS (4)</v>
          </cell>
          <cell r="C95" t="str">
            <v>TSB5501G-1E</v>
          </cell>
          <cell r="D95" t="str">
            <v>VIN WATER &gt; EPDM &lt; DATE</v>
          </cell>
          <cell r="E95">
            <v>16</v>
          </cell>
          <cell r="F95">
            <v>24</v>
          </cell>
          <cell r="G95">
            <v>384</v>
          </cell>
          <cell r="H95" t="str">
            <v>379±1</v>
          </cell>
          <cell r="I95">
            <v>50</v>
          </cell>
          <cell r="J95">
            <v>6655</v>
          </cell>
        </row>
        <row r="96">
          <cell r="A96" t="str">
            <v>TA-1780</v>
          </cell>
          <cell r="B96" t="str">
            <v>HOSE, RADIATOR NO. 1</v>
          </cell>
          <cell r="C96" t="str">
            <v>TSB5501G-1E</v>
          </cell>
          <cell r="D96" t="str">
            <v>VIN WATER &gt; EPDM &lt; DATE</v>
          </cell>
          <cell r="E96">
            <v>30</v>
          </cell>
          <cell r="F96">
            <v>38</v>
          </cell>
          <cell r="G96">
            <v>408</v>
          </cell>
          <cell r="H96" t="str">
            <v>407±1</v>
          </cell>
          <cell r="I96">
            <v>24</v>
          </cell>
          <cell r="J96">
            <v>6655</v>
          </cell>
        </row>
        <row r="97">
          <cell r="A97" t="str">
            <v>TA-1790</v>
          </cell>
          <cell r="B97" t="str">
            <v>HOSE, RADIATOR NO. 2</v>
          </cell>
          <cell r="C97" t="str">
            <v>TSB5501G-6A</v>
          </cell>
          <cell r="D97" t="str">
            <v>VIN WATER &gt; EPDM &lt; DATE</v>
          </cell>
          <cell r="E97">
            <v>30</v>
          </cell>
          <cell r="F97">
            <v>38</v>
          </cell>
          <cell r="G97">
            <v>240</v>
          </cell>
          <cell r="H97" t="str">
            <v>238±1</v>
          </cell>
          <cell r="I97">
            <v>50</v>
          </cell>
          <cell r="J97">
            <v>6655</v>
          </cell>
        </row>
        <row r="98">
          <cell r="A98" t="str">
            <v>TA-1830</v>
          </cell>
          <cell r="B98" t="str">
            <v>HOSE, WATER BY-PASS NO. 4</v>
          </cell>
          <cell r="C98" t="str">
            <v>TSB5501G-1F</v>
          </cell>
          <cell r="D98" t="str">
            <v>VIN WATER &gt; EPDM &lt; DATE</v>
          </cell>
          <cell r="E98">
            <v>16</v>
          </cell>
          <cell r="F98">
            <v>24</v>
          </cell>
          <cell r="G98">
            <v>417</v>
          </cell>
          <cell r="H98" t="str">
            <v>412±1</v>
          </cell>
          <cell r="I98">
            <v>50</v>
          </cell>
          <cell r="J98">
            <v>6655</v>
          </cell>
        </row>
        <row r="99">
          <cell r="A99" t="str">
            <v>TA-1890</v>
          </cell>
          <cell r="B99" t="str">
            <v>HOSE, WATER BY-PASS NO. 2</v>
          </cell>
          <cell r="C99" t="str">
            <v>TSB5501G-1E</v>
          </cell>
          <cell r="D99" t="str">
            <v>VIN WATER &gt; EPDM &lt; DATE</v>
          </cell>
          <cell r="E99">
            <v>16</v>
          </cell>
          <cell r="F99">
            <v>24</v>
          </cell>
          <cell r="G99">
            <v>599</v>
          </cell>
          <cell r="H99" t="str">
            <v>595±5</v>
          </cell>
          <cell r="I99">
            <v>50</v>
          </cell>
          <cell r="J99">
            <v>6655</v>
          </cell>
        </row>
        <row r="100">
          <cell r="A100" t="str">
            <v>TA-2120</v>
          </cell>
          <cell r="B100" t="str">
            <v>HOSE, RADIATOR NO. 1</v>
          </cell>
          <cell r="C100" t="str">
            <v>TSB5501G-1F</v>
          </cell>
          <cell r="D100" t="str">
            <v>VIN WATER &gt; EPDM &lt; DATE</v>
          </cell>
          <cell r="E100">
            <v>30</v>
          </cell>
          <cell r="F100">
            <v>38</v>
          </cell>
          <cell r="G100">
            <v>408</v>
          </cell>
          <cell r="H100" t="str">
            <v>407±1</v>
          </cell>
          <cell r="I100">
            <v>24</v>
          </cell>
          <cell r="J100">
            <v>6655</v>
          </cell>
        </row>
        <row r="101">
          <cell r="A101" t="str">
            <v>TA-2631</v>
          </cell>
          <cell r="B101" t="str">
            <v>HOSE, WATER BY-PASS, NO. 5</v>
          </cell>
          <cell r="C101" t="str">
            <v>TSM1677G-1E</v>
          </cell>
          <cell r="D101" t="str">
            <v>VIN WATER &gt; EPDM &lt; DATE</v>
          </cell>
          <cell r="E101">
            <v>16</v>
          </cell>
          <cell r="F101">
            <v>24</v>
          </cell>
          <cell r="G101">
            <v>405</v>
          </cell>
          <cell r="H101" t="str">
            <v>400±1</v>
          </cell>
          <cell r="I101">
            <v>50</v>
          </cell>
          <cell r="J101">
            <v>6655</v>
          </cell>
        </row>
        <row r="102">
          <cell r="A102" t="str">
            <v>TA-2632</v>
          </cell>
          <cell r="B102" t="str">
            <v>HOSE, WATER BY-PASS, NO. 6</v>
          </cell>
          <cell r="C102" t="str">
            <v>TSM1677G-1E</v>
          </cell>
          <cell r="D102" t="str">
            <v>VIN WATER &gt; EPDM &lt; DATE</v>
          </cell>
          <cell r="E102">
            <v>16</v>
          </cell>
          <cell r="F102">
            <v>24</v>
          </cell>
          <cell r="G102">
            <v>284</v>
          </cell>
          <cell r="H102" t="str">
            <v>279±1</v>
          </cell>
          <cell r="I102">
            <v>50</v>
          </cell>
          <cell r="J102">
            <v>6655</v>
          </cell>
        </row>
        <row r="103">
          <cell r="A103" t="str">
            <v>TA-2633</v>
          </cell>
          <cell r="B103" t="str">
            <v>HOSE, RADIATOR, NO. 1</v>
          </cell>
          <cell r="C103" t="str">
            <v>TSM1677G-1E</v>
          </cell>
          <cell r="D103" t="str">
            <v>VIN WATER &gt; EPDM &lt; DATE</v>
          </cell>
          <cell r="E103">
            <v>33</v>
          </cell>
          <cell r="F103">
            <v>42</v>
          </cell>
          <cell r="G103">
            <v>190</v>
          </cell>
          <cell r="H103" t="str">
            <v>188±1</v>
          </cell>
          <cell r="I103">
            <v>50</v>
          </cell>
          <cell r="J103">
            <v>6655</v>
          </cell>
        </row>
        <row r="104">
          <cell r="A104" t="str">
            <v>TA-2634</v>
          </cell>
          <cell r="B104" t="str">
            <v>HOSE, RADIATOR, NO. 4</v>
          </cell>
          <cell r="C104" t="str">
            <v>TSM1677G-1E</v>
          </cell>
          <cell r="D104" t="str">
            <v>VIN WATER &gt; EPDM &lt; DATE</v>
          </cell>
          <cell r="E104">
            <v>33</v>
          </cell>
          <cell r="F104">
            <v>42</v>
          </cell>
          <cell r="G104">
            <v>355</v>
          </cell>
          <cell r="H104" t="str">
            <v>354±1</v>
          </cell>
          <cell r="I104">
            <v>50</v>
          </cell>
          <cell r="J104">
            <v>6655</v>
          </cell>
        </row>
        <row r="105">
          <cell r="A105" t="str">
            <v>TA-2640</v>
          </cell>
          <cell r="B105" t="str">
            <v>HOSE, RADIATOR, NO. 1</v>
          </cell>
          <cell r="C105" t="str">
            <v>TSM1677G-1E</v>
          </cell>
          <cell r="D105" t="str">
            <v>VIN WATER &gt; EPDM &lt; DATE</v>
          </cell>
          <cell r="E105">
            <v>33</v>
          </cell>
          <cell r="F105">
            <v>42</v>
          </cell>
          <cell r="G105" t="str">
            <v>642</v>
          </cell>
          <cell r="H105" t="str">
            <v>641±1</v>
          </cell>
          <cell r="I105">
            <v>50</v>
          </cell>
          <cell r="J105">
            <v>6655</v>
          </cell>
        </row>
        <row r="106">
          <cell r="A106" t="str">
            <v>TA-2650</v>
          </cell>
          <cell r="B106" t="str">
            <v>HOSE, RADIATOR, NO. 2</v>
          </cell>
          <cell r="C106" t="str">
            <v>TSM1677G-1E</v>
          </cell>
          <cell r="D106" t="str">
            <v>VIN WATER &gt; EPDM &lt; DATE</v>
          </cell>
          <cell r="E106">
            <v>33</v>
          </cell>
          <cell r="F106">
            <v>42</v>
          </cell>
          <cell r="G106">
            <v>633</v>
          </cell>
          <cell r="H106" t="str">
            <v>632±1</v>
          </cell>
          <cell r="I106">
            <v>50</v>
          </cell>
          <cell r="J106">
            <v>6655</v>
          </cell>
        </row>
        <row r="107">
          <cell r="A107" t="str">
            <v>TA-2660</v>
          </cell>
          <cell r="B107" t="str">
            <v>HOSE, RADIATOR, NO. 2</v>
          </cell>
          <cell r="C107" t="str">
            <v>TSM1677G-1E</v>
          </cell>
          <cell r="D107" t="str">
            <v>VIN WATER &gt; EPDM &lt; DATE</v>
          </cell>
          <cell r="E107">
            <v>33</v>
          </cell>
          <cell r="F107">
            <v>42</v>
          </cell>
          <cell r="G107">
            <v>512</v>
          </cell>
          <cell r="H107" t="str">
            <v>501±1</v>
          </cell>
          <cell r="I107">
            <v>50</v>
          </cell>
          <cell r="J107">
            <v>6655</v>
          </cell>
        </row>
        <row r="108">
          <cell r="A108" t="str">
            <v>TA-2670</v>
          </cell>
          <cell r="B108" t="str">
            <v>HOSE, INVERTER COOLING, NO. 1</v>
          </cell>
          <cell r="C108" t="str">
            <v>TSM1677G-1E</v>
          </cell>
          <cell r="D108" t="str">
            <v>VIN WATER &gt; EPDM &lt; DATE</v>
          </cell>
          <cell r="E108">
            <v>16</v>
          </cell>
          <cell r="F108">
            <v>24</v>
          </cell>
          <cell r="G108">
            <v>280</v>
          </cell>
          <cell r="H108" t="str">
            <v>278±1</v>
          </cell>
          <cell r="I108">
            <v>50</v>
          </cell>
          <cell r="J108">
            <v>6655</v>
          </cell>
        </row>
        <row r="109">
          <cell r="A109" t="str">
            <v>TA-2680</v>
          </cell>
          <cell r="B109" t="str">
            <v>HOSE, INVERTER COOLING, NO. 2</v>
          </cell>
          <cell r="C109" t="str">
            <v>TSM1677G-1E</v>
          </cell>
          <cell r="D109" t="str">
            <v>VIN WATER &gt; EPDM &lt; DATE</v>
          </cell>
          <cell r="E109">
            <v>16</v>
          </cell>
          <cell r="F109">
            <v>24</v>
          </cell>
          <cell r="G109" t="str">
            <v>750</v>
          </cell>
          <cell r="H109" t="str">
            <v>745±1</v>
          </cell>
          <cell r="I109">
            <v>50</v>
          </cell>
          <cell r="J109">
            <v>6655</v>
          </cell>
        </row>
        <row r="110">
          <cell r="A110" t="str">
            <v>TA-2690</v>
          </cell>
          <cell r="B110" t="str">
            <v>HOSE, INVERTER COOLING, NO. 3</v>
          </cell>
          <cell r="C110" t="str">
            <v>TSM1677G-1E</v>
          </cell>
          <cell r="D110" t="str">
            <v>VIN WATER &gt; EPDM &lt; DATE</v>
          </cell>
          <cell r="E110">
            <v>16</v>
          </cell>
          <cell r="F110">
            <v>24</v>
          </cell>
          <cell r="G110">
            <v>610</v>
          </cell>
          <cell r="H110" t="str">
            <v>603±1</v>
          </cell>
          <cell r="I110">
            <v>50</v>
          </cell>
          <cell r="J110">
            <v>6655</v>
          </cell>
        </row>
        <row r="111">
          <cell r="A111" t="str">
            <v>TA-2700</v>
          </cell>
          <cell r="B111" t="str">
            <v>HOSE, INVERTER COOLING, NO. 4</v>
          </cell>
          <cell r="C111" t="str">
            <v>TSM1677G-1E</v>
          </cell>
          <cell r="D111" t="str">
            <v>VIN WATER &gt; EPDM &lt; DATE</v>
          </cell>
          <cell r="E111">
            <v>16</v>
          </cell>
          <cell r="F111">
            <v>24</v>
          </cell>
          <cell r="G111">
            <v>643</v>
          </cell>
          <cell r="H111" t="str">
            <v>640±1</v>
          </cell>
          <cell r="I111">
            <v>50</v>
          </cell>
          <cell r="J111">
            <v>6655</v>
          </cell>
        </row>
        <row r="112">
          <cell r="A112" t="str">
            <v>TA-2711</v>
          </cell>
          <cell r="B112" t="str">
            <v>HOSE, OIL COOLER SIDE</v>
          </cell>
          <cell r="C112" t="str">
            <v>TSM1677G-1E</v>
          </cell>
          <cell r="D112" t="str">
            <v>VIN WATER &gt; EPDM &lt; DATE</v>
          </cell>
          <cell r="E112">
            <v>16</v>
          </cell>
          <cell r="F112">
            <v>24</v>
          </cell>
          <cell r="G112">
            <v>558</v>
          </cell>
          <cell r="H112" t="str">
            <v>553±1</v>
          </cell>
          <cell r="I112">
            <v>50</v>
          </cell>
          <cell r="J112">
            <v>6655</v>
          </cell>
        </row>
        <row r="113">
          <cell r="A113" t="str">
            <v>TA-2712</v>
          </cell>
          <cell r="B113" t="str">
            <v>HOSE, RESERVE TANK SIDE</v>
          </cell>
          <cell r="C113" t="str">
            <v>TSM1677G-1E</v>
          </cell>
          <cell r="D113" t="str">
            <v>VIN WATER &gt; EPDM &lt; DATE</v>
          </cell>
          <cell r="E113">
            <v>16</v>
          </cell>
          <cell r="F113">
            <v>24</v>
          </cell>
          <cell r="G113">
            <v>517</v>
          </cell>
          <cell r="H113" t="str">
            <v>512±1</v>
          </cell>
          <cell r="I113">
            <v>50</v>
          </cell>
          <cell r="J113">
            <v>6655</v>
          </cell>
        </row>
        <row r="114">
          <cell r="A114" t="str">
            <v>TA-2750</v>
          </cell>
          <cell r="B114" t="str">
            <v>HOSE, WATER BY-PASS, NO. 2</v>
          </cell>
          <cell r="C114" t="str">
            <v>DTSB5501G-1F</v>
          </cell>
          <cell r="D114" t="str">
            <v>VIN WATER &gt; EPDM &lt; DATE</v>
          </cell>
          <cell r="E114">
            <v>13</v>
          </cell>
          <cell r="F114">
            <v>21</v>
          </cell>
          <cell r="G114">
            <v>292</v>
          </cell>
          <cell r="H114" t="str">
            <v>285±1</v>
          </cell>
          <cell r="I114">
            <v>50</v>
          </cell>
          <cell r="J114">
            <v>6655</v>
          </cell>
        </row>
        <row r="115">
          <cell r="A115" t="str">
            <v>TA-2770</v>
          </cell>
          <cell r="B115" t="str">
            <v>HOSE, WATER BY-PASS, NO. 1</v>
          </cell>
          <cell r="C115" t="str">
            <v>DTSB5501G-1F</v>
          </cell>
          <cell r="D115" t="str">
            <v>VIN WATER &gt; EPDM &lt; DATE</v>
          </cell>
          <cell r="E115">
            <v>13</v>
          </cell>
          <cell r="F115">
            <v>21</v>
          </cell>
          <cell r="G115">
            <v>369</v>
          </cell>
          <cell r="H115" t="str">
            <v>365±1</v>
          </cell>
          <cell r="I115">
            <v>50</v>
          </cell>
          <cell r="J115">
            <v>6655</v>
          </cell>
        </row>
        <row r="116">
          <cell r="A116" t="str">
            <v>TA-2830</v>
          </cell>
          <cell r="B116" t="str">
            <v>HOSE, WATER</v>
          </cell>
          <cell r="C116" t="str">
            <v>DTSB5501G-1F</v>
          </cell>
          <cell r="D116" t="str">
            <v>VIN WATER &gt; EPDM &lt; DATE</v>
          </cell>
          <cell r="E116">
            <v>13</v>
          </cell>
          <cell r="F116">
            <v>21</v>
          </cell>
          <cell r="G116">
            <v>738</v>
          </cell>
          <cell r="H116" t="str">
            <v>734±1</v>
          </cell>
          <cell r="I116">
            <v>50</v>
          </cell>
          <cell r="J116">
            <v>6688</v>
          </cell>
        </row>
        <row r="117">
          <cell r="A117" t="str">
            <v>TA-2840</v>
          </cell>
          <cell r="B117" t="str">
            <v>HOSE, WATER</v>
          </cell>
          <cell r="C117" t="str">
            <v>DTSB5501G-1F</v>
          </cell>
          <cell r="D117" t="str">
            <v>VIN WATER &gt; EPDM &lt; DATE</v>
          </cell>
          <cell r="E117">
            <v>13</v>
          </cell>
          <cell r="F117">
            <v>21</v>
          </cell>
          <cell r="G117">
            <v>803</v>
          </cell>
          <cell r="H117" t="str">
            <v>799±1</v>
          </cell>
          <cell r="I117">
            <v>50</v>
          </cell>
          <cell r="J117">
            <v>6688</v>
          </cell>
        </row>
        <row r="118">
          <cell r="A118" t="str">
            <v>TA-2850</v>
          </cell>
          <cell r="B118" t="str">
            <v>HOSE, WATER</v>
          </cell>
          <cell r="C118" t="str">
            <v>DTSB5501G-1F</v>
          </cell>
          <cell r="D118" t="str">
            <v>VIN WATER &gt; EPDM &lt; DATE</v>
          </cell>
          <cell r="E118">
            <v>13</v>
          </cell>
          <cell r="F118">
            <v>21</v>
          </cell>
          <cell r="G118">
            <v>853</v>
          </cell>
          <cell r="H118" t="str">
            <v>849±1</v>
          </cell>
          <cell r="I118">
            <v>50</v>
          </cell>
          <cell r="J118">
            <v>6688</v>
          </cell>
        </row>
        <row r="119">
          <cell r="A119" t="str">
            <v>TA-2860</v>
          </cell>
          <cell r="B119" t="str">
            <v>HOSE, WATER, NO. 2</v>
          </cell>
          <cell r="C119" t="str">
            <v>DTSB5501G-1F</v>
          </cell>
          <cell r="D119" t="str">
            <v>VIN WATER &gt; EPDM &lt; DATE</v>
          </cell>
          <cell r="E119">
            <v>13</v>
          </cell>
          <cell r="F119">
            <v>21</v>
          </cell>
          <cell r="G119">
            <v>388</v>
          </cell>
          <cell r="H119" t="str">
            <v>384±1</v>
          </cell>
          <cell r="I119">
            <v>50</v>
          </cell>
          <cell r="J119">
            <v>6655</v>
          </cell>
        </row>
        <row r="120">
          <cell r="A120" t="str">
            <v>TA-2870</v>
          </cell>
          <cell r="B120" t="str">
            <v>HOSE, WATER, NO. 2</v>
          </cell>
          <cell r="C120" t="str">
            <v>DTSB5501G-1F</v>
          </cell>
          <cell r="D120" t="str">
            <v>VIN WATER &gt; EPDM &lt; DATE</v>
          </cell>
          <cell r="E120">
            <v>13</v>
          </cell>
          <cell r="F120">
            <v>21</v>
          </cell>
          <cell r="G120">
            <v>458</v>
          </cell>
          <cell r="H120" t="str">
            <v>454±1</v>
          </cell>
          <cell r="I120">
            <v>50</v>
          </cell>
          <cell r="J120">
            <v>6655</v>
          </cell>
        </row>
        <row r="121">
          <cell r="A121" t="str">
            <v>TA-2880</v>
          </cell>
          <cell r="B121" t="str">
            <v>HOSE, WATER, NO. 2</v>
          </cell>
          <cell r="C121" t="str">
            <v>DTSB5501G-1F</v>
          </cell>
          <cell r="D121" t="str">
            <v>VIN WATER &gt; EPDM &lt; DATE</v>
          </cell>
          <cell r="E121">
            <v>13</v>
          </cell>
          <cell r="F121">
            <v>21</v>
          </cell>
          <cell r="G121">
            <v>574</v>
          </cell>
          <cell r="H121" t="str">
            <v>570±1</v>
          </cell>
          <cell r="I121">
            <v>50</v>
          </cell>
          <cell r="J121">
            <v>6655</v>
          </cell>
        </row>
        <row r="122">
          <cell r="A122" t="str">
            <v>TA-3000</v>
          </cell>
          <cell r="B122" t="str">
            <v>HOSE, RADIATOR, NO. 2</v>
          </cell>
          <cell r="C122" t="str">
            <v>DTSM1677-1F</v>
          </cell>
          <cell r="D122" t="str">
            <v>VIN WATER &gt; EPDM &lt; DATE</v>
          </cell>
          <cell r="E122">
            <v>30</v>
          </cell>
          <cell r="F122">
            <v>38</v>
          </cell>
          <cell r="G122">
            <v>422</v>
          </cell>
          <cell r="H122" t="str">
            <v>421±1</v>
          </cell>
          <cell r="I122">
            <v>50</v>
          </cell>
          <cell r="J122">
            <v>6655</v>
          </cell>
        </row>
        <row r="123">
          <cell r="A123" t="str">
            <v>TA-3010</v>
          </cell>
          <cell r="B123" t="str">
            <v>HOSE, RADIATOR, NO. 1</v>
          </cell>
          <cell r="C123" t="str">
            <v>DTSM1677-1F</v>
          </cell>
          <cell r="D123" t="str">
            <v>VIN WATER &gt; EPDM &lt; DATE</v>
          </cell>
          <cell r="E123">
            <v>30</v>
          </cell>
          <cell r="F123">
            <v>38</v>
          </cell>
          <cell r="G123">
            <v>296</v>
          </cell>
          <cell r="H123" t="str">
            <v>295±1</v>
          </cell>
          <cell r="I123">
            <v>50</v>
          </cell>
          <cell r="J123">
            <v>6655</v>
          </cell>
        </row>
        <row r="124">
          <cell r="A124" t="str">
            <v>TA-3050</v>
          </cell>
          <cell r="B124" t="str">
            <v>HOSE, RADIATOR, NO. 2</v>
          </cell>
          <cell r="C124" t="str">
            <v>DTSM1677-1F</v>
          </cell>
          <cell r="D124" t="str">
            <v>VIN WATER &gt; EPDM &lt; DATE</v>
          </cell>
          <cell r="E124">
            <v>30</v>
          </cell>
          <cell r="F124">
            <v>38</v>
          </cell>
          <cell r="G124">
            <v>450</v>
          </cell>
          <cell r="H124" t="str">
            <v>448±1</v>
          </cell>
          <cell r="I124">
            <v>50</v>
          </cell>
          <cell r="J124">
            <v>6655</v>
          </cell>
        </row>
        <row r="125">
          <cell r="A125" t="str">
            <v>TA-3060</v>
          </cell>
          <cell r="B125" t="str">
            <v>HOSE, RADIATOR, NO. 1</v>
          </cell>
          <cell r="C125" t="str">
            <v>DTSM1677-1F</v>
          </cell>
          <cell r="D125" t="str">
            <v>VIN WATER &gt; EPDM &lt; DATE</v>
          </cell>
          <cell r="E125">
            <v>30</v>
          </cell>
          <cell r="F125">
            <v>38</v>
          </cell>
          <cell r="G125">
            <v>500</v>
          </cell>
          <cell r="H125" t="str">
            <v>498±1</v>
          </cell>
          <cell r="I125">
            <v>50</v>
          </cell>
          <cell r="J125">
            <v>6655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S3 Air &amp; Fuel Non Vacuum (1)"/>
      <sheetName val="CHS3 Air &amp; Fuel Non Vacuum (2)"/>
      <sheetName val="CHS3 Vacuum (Page 1)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MS-0230</v>
          </cell>
          <cell r="B1" t="str">
            <v>HOSE, FUEL SUCTION</v>
          </cell>
          <cell r="C1" t="str">
            <v>ES-W56901</v>
          </cell>
          <cell r="D1" t="str">
            <v>VIN 10 FUEL I DATE</v>
          </cell>
          <cell r="E1">
            <v>11.5</v>
          </cell>
          <cell r="F1">
            <v>18.3</v>
          </cell>
          <cell r="G1">
            <v>300</v>
          </cell>
          <cell r="H1" t="str">
            <v>238±1</v>
          </cell>
          <cell r="I1">
            <v>300</v>
          </cell>
        </row>
        <row r="2">
          <cell r="A2" t="str">
            <v>NA-2031</v>
          </cell>
          <cell r="B2" t="str">
            <v>HOSE, FUEL VAPOR FEED, NO. 1</v>
          </cell>
          <cell r="C2" t="str">
            <v>DTSM1644G-7</v>
          </cell>
          <cell r="D2" t="str">
            <v>-</v>
          </cell>
          <cell r="E2">
            <v>5.8</v>
          </cell>
          <cell r="F2">
            <v>12.2</v>
          </cell>
          <cell r="G2">
            <v>108</v>
          </cell>
          <cell r="H2" t="str">
            <v>105±2</v>
          </cell>
          <cell r="I2">
            <v>300</v>
          </cell>
        </row>
        <row r="3">
          <cell r="A3" t="str">
            <v>NA-2032</v>
          </cell>
          <cell r="B3" t="str">
            <v>HOSE, FUEL VAPOR FEED, NO. 2</v>
          </cell>
          <cell r="C3" t="str">
            <v>DTSM1644G-7</v>
          </cell>
          <cell r="D3" t="str">
            <v>-</v>
          </cell>
          <cell r="E3">
            <v>5.8</v>
          </cell>
          <cell r="F3">
            <v>12.2</v>
          </cell>
          <cell r="G3">
            <v>155</v>
          </cell>
          <cell r="H3" t="str">
            <v>105±2</v>
          </cell>
          <cell r="I3">
            <v>300</v>
          </cell>
        </row>
        <row r="4">
          <cell r="A4" t="str">
            <v>NA-2700</v>
          </cell>
          <cell r="B4" t="str">
            <v>HOSE, AIR NO. 1</v>
          </cell>
          <cell r="C4" t="str">
            <v>DTSM1652G-6</v>
          </cell>
          <cell r="D4" t="str">
            <v>DOT IP DATE 7,5 VL &gt;CR,NBR&lt;</v>
          </cell>
          <cell r="E4">
            <v>7.5</v>
          </cell>
          <cell r="F4">
            <v>16</v>
          </cell>
          <cell r="G4">
            <v>159</v>
          </cell>
          <cell r="H4" t="str">
            <v>156±1</v>
          </cell>
          <cell r="I4">
            <v>50</v>
          </cell>
        </row>
        <row r="5">
          <cell r="A5" t="str">
            <v>NA-2810</v>
          </cell>
          <cell r="B5" t="str">
            <v>HOSE, AIR NO. 1</v>
          </cell>
          <cell r="C5" t="str">
            <v>DTSM1652G-6</v>
          </cell>
          <cell r="D5" t="str">
            <v>DOT IP DATE 7,5 VL &gt;CR,NBR&lt;</v>
          </cell>
          <cell r="E5">
            <v>7.5</v>
          </cell>
          <cell r="F5">
            <v>16</v>
          </cell>
          <cell r="G5">
            <v>95</v>
          </cell>
          <cell r="H5" t="str">
            <v>93±1</v>
          </cell>
          <cell r="I5">
            <v>50</v>
          </cell>
        </row>
        <row r="6">
          <cell r="A6" t="str">
            <v>NA-2990</v>
          </cell>
          <cell r="B6" t="str">
            <v>HOSE, AIR NO. 1</v>
          </cell>
          <cell r="C6" t="str">
            <v>DTSM1652G-6</v>
          </cell>
          <cell r="D6" t="str">
            <v>DOT IP DATE 7,5 VL &gt;CR,NBR&lt;</v>
          </cell>
          <cell r="E6">
            <v>7.5</v>
          </cell>
          <cell r="F6">
            <v>16</v>
          </cell>
          <cell r="G6">
            <v>490</v>
          </cell>
          <cell r="H6" t="str">
            <v>462±2</v>
          </cell>
          <cell r="I6">
            <v>50</v>
          </cell>
        </row>
        <row r="7">
          <cell r="A7" t="str">
            <v>HN-0140</v>
          </cell>
          <cell r="B7" t="str">
            <v>HOSE, FUEL NO. 2</v>
          </cell>
          <cell r="C7" t="str">
            <v>TSE7151G-2</v>
          </cell>
          <cell r="D7" t="str">
            <v>VIN 08 FUEL I DATE</v>
          </cell>
          <cell r="E7">
            <v>7.6</v>
          </cell>
          <cell r="F7">
            <v>14</v>
          </cell>
          <cell r="G7">
            <v>288</v>
          </cell>
          <cell r="H7" t="str">
            <v>281±1</v>
          </cell>
          <cell r="I7">
            <v>50</v>
          </cell>
        </row>
        <row r="8">
          <cell r="A8" t="str">
            <v>HN-0180</v>
          </cell>
          <cell r="B8" t="str">
            <v>HOSE, FUEL NO. 1</v>
          </cell>
          <cell r="C8" t="str">
            <v>TSE7151G-2</v>
          </cell>
          <cell r="D8" t="str">
            <v>VIN 10 FUEL I DATE</v>
          </cell>
          <cell r="E8">
            <v>9.5</v>
          </cell>
          <cell r="F8">
            <v>16.5</v>
          </cell>
          <cell r="G8">
            <v>289</v>
          </cell>
          <cell r="H8" t="str">
            <v>274±2</v>
          </cell>
          <cell r="I8">
            <v>50</v>
          </cell>
        </row>
        <row r="9">
          <cell r="A9" t="str">
            <v>HN-0190</v>
          </cell>
          <cell r="B9" t="str">
            <v>HOSE, FUEL NO. 1</v>
          </cell>
          <cell r="C9" t="str">
            <v>TSE7151G-2</v>
          </cell>
          <cell r="D9" t="str">
            <v>VIN 10 FUEL I DATE</v>
          </cell>
          <cell r="E9">
            <v>9.5</v>
          </cell>
          <cell r="F9">
            <v>16.5</v>
          </cell>
          <cell r="G9">
            <v>338</v>
          </cell>
          <cell r="H9" t="str">
            <v>322±3</v>
          </cell>
          <cell r="I9">
            <v>50</v>
          </cell>
        </row>
        <row r="10">
          <cell r="A10" t="str">
            <v>HN-0200</v>
          </cell>
          <cell r="B10" t="str">
            <v>HOSE, FUEL NO. 1</v>
          </cell>
          <cell r="C10" t="str">
            <v>TSE7151G-2</v>
          </cell>
          <cell r="D10" t="str">
            <v>VIN 10 FUEL I DATE</v>
          </cell>
          <cell r="E10">
            <v>9.5</v>
          </cell>
          <cell r="F10">
            <v>16.5</v>
          </cell>
          <cell r="G10">
            <v>279</v>
          </cell>
          <cell r="H10" t="str">
            <v>265±3</v>
          </cell>
          <cell r="I10">
            <v>50</v>
          </cell>
        </row>
        <row r="11">
          <cell r="A11" t="str">
            <v>HN-0210</v>
          </cell>
          <cell r="B11" t="str">
            <v>HOSE, FUEL NO. 1</v>
          </cell>
          <cell r="C11" t="str">
            <v>TSE7151G-2</v>
          </cell>
          <cell r="D11" t="str">
            <v>VIN 10 FUEL I DATE</v>
          </cell>
          <cell r="E11">
            <v>9.5</v>
          </cell>
          <cell r="F11">
            <v>16.5</v>
          </cell>
          <cell r="G11">
            <v>280</v>
          </cell>
          <cell r="H11" t="str">
            <v>266±3</v>
          </cell>
          <cell r="I11">
            <v>50</v>
          </cell>
        </row>
        <row r="12">
          <cell r="A12" t="str">
            <v>HN-0220</v>
          </cell>
          <cell r="B12" t="str">
            <v>HOSE, FUEL NO. 2</v>
          </cell>
          <cell r="C12" t="str">
            <v>TSE7151G-2</v>
          </cell>
          <cell r="D12" t="str">
            <v>VIN 08 FUEL I DATE</v>
          </cell>
          <cell r="E12">
            <v>7.6</v>
          </cell>
          <cell r="F12">
            <v>14</v>
          </cell>
          <cell r="G12">
            <v>299</v>
          </cell>
          <cell r="H12" t="str">
            <v>292±2</v>
          </cell>
          <cell r="I12">
            <v>50</v>
          </cell>
        </row>
        <row r="13">
          <cell r="A13" t="str">
            <v>HN-0230</v>
          </cell>
          <cell r="B13" t="str">
            <v>HOSE, FUEL NO. 2</v>
          </cell>
          <cell r="C13" t="str">
            <v>TSE7151G-2</v>
          </cell>
          <cell r="D13" t="str">
            <v>VIN 08 FUEL I DATE</v>
          </cell>
          <cell r="E13">
            <v>7.6</v>
          </cell>
          <cell r="F13">
            <v>14</v>
          </cell>
          <cell r="G13">
            <v>299</v>
          </cell>
          <cell r="H13" t="str">
            <v>292±1</v>
          </cell>
          <cell r="I13">
            <v>50</v>
          </cell>
        </row>
        <row r="14">
          <cell r="A14" t="str">
            <v>HN-0580</v>
          </cell>
          <cell r="B14" t="str">
            <v>HOSE, FUEL</v>
          </cell>
          <cell r="C14" t="str">
            <v>HTSE7151G-A</v>
          </cell>
          <cell r="D14" t="str">
            <v>VIN 10 FUEL I DATE</v>
          </cell>
          <cell r="E14">
            <v>9.5</v>
          </cell>
          <cell r="F14">
            <v>17</v>
          </cell>
          <cell r="G14">
            <v>4850</v>
          </cell>
          <cell r="H14" t="str">
            <v>LOYANG</v>
          </cell>
          <cell r="I14">
            <v>3</v>
          </cell>
        </row>
        <row r="15">
          <cell r="A15" t="str">
            <v>PM-1041</v>
          </cell>
          <cell r="B15" t="str">
            <v>HOSE, FUEL DEL. PIPE TO FUEL FILTER</v>
          </cell>
          <cell r="C15" t="str">
            <v>ISD V01-001Y TYPE 2-D</v>
          </cell>
          <cell r="D15" t="str">
            <v>VIN FUEL &gt; FKM,ECO,ECO&lt; DATE</v>
          </cell>
          <cell r="E15">
            <v>9.3000000000000007</v>
          </cell>
          <cell r="F15">
            <v>16.5</v>
          </cell>
          <cell r="G15">
            <v>597</v>
          </cell>
          <cell r="H15" t="str">
            <v>592±1</v>
          </cell>
          <cell r="I15">
            <v>50</v>
          </cell>
        </row>
        <row r="16">
          <cell r="A16" t="str">
            <v>PM-1042</v>
          </cell>
          <cell r="B16" t="str">
            <v>HOSE, FUEL RETARDER FILTER TO PIPE</v>
          </cell>
          <cell r="C16" t="str">
            <v>ISD V01-001Y TYPE 2-D</v>
          </cell>
          <cell r="D16" t="str">
            <v>VIN FUEL &gt; FKM,ECO,ECO&lt; DATE</v>
          </cell>
          <cell r="E16">
            <v>5.8</v>
          </cell>
          <cell r="F16">
            <v>12.2</v>
          </cell>
          <cell r="G16">
            <v>465</v>
          </cell>
          <cell r="H16" t="str">
            <v>465±1</v>
          </cell>
          <cell r="I16">
            <v>50</v>
          </cell>
        </row>
        <row r="17">
          <cell r="A17" t="str">
            <v>PM-105A</v>
          </cell>
          <cell r="B17" t="str">
            <v>HOSE, FUEL DEL. FUEL FILTER TO PIPE</v>
          </cell>
          <cell r="C17" t="str">
            <v>ISD V01-001Y TYPE 2-D</v>
          </cell>
          <cell r="D17" t="str">
            <v>VIN FUEL &gt; FKM,ECO,ECO&lt; DATE</v>
          </cell>
          <cell r="E17">
            <v>9.3000000000000007</v>
          </cell>
          <cell r="F17">
            <v>16.5</v>
          </cell>
          <cell r="G17">
            <v>278</v>
          </cell>
          <cell r="H17" t="str">
            <v>270±1</v>
          </cell>
          <cell r="I17">
            <v>50</v>
          </cell>
        </row>
        <row r="18">
          <cell r="A18" t="str">
            <v>PM-1130</v>
          </cell>
          <cell r="B18" t="str">
            <v>HOSE;P/S GR OTLT</v>
          </cell>
          <cell r="C18" t="str">
            <v>ISD-V01-502C_E</v>
          </cell>
          <cell r="D18" t="str">
            <v>VIN FUEL &gt; FKM,ECO,ECO&lt; DATE</v>
          </cell>
          <cell r="E18">
            <v>9.5</v>
          </cell>
          <cell r="F18">
            <v>17</v>
          </cell>
          <cell r="G18">
            <v>430</v>
          </cell>
          <cell r="H18" t="str">
            <v>424±2</v>
          </cell>
          <cell r="I18">
            <v>50</v>
          </cell>
        </row>
        <row r="19">
          <cell r="A19" t="str">
            <v>PM-1140</v>
          </cell>
          <cell r="B19" t="str">
            <v>HOSE FUEL FEED FIL TO PIPE</v>
          </cell>
          <cell r="C19" t="str">
            <v>ISD V01-001Y TYPE 2-D</v>
          </cell>
          <cell r="D19" t="str">
            <v>VIN FUEL &gt; FKM,ECO,ECO&lt; DATE</v>
          </cell>
          <cell r="E19">
            <v>9.3000000000000007</v>
          </cell>
          <cell r="F19">
            <v>16.5</v>
          </cell>
          <cell r="G19">
            <v>630</v>
          </cell>
          <cell r="H19" t="str">
            <v>611±2</v>
          </cell>
          <cell r="I19">
            <v>50</v>
          </cell>
        </row>
        <row r="20">
          <cell r="A20" t="str">
            <v>PM-1150</v>
          </cell>
          <cell r="B20" t="str">
            <v>HOSE;F/PMP FUEL RTN</v>
          </cell>
          <cell r="C20" t="str">
            <v>ISD-V01-001K_E</v>
          </cell>
          <cell r="D20" t="str">
            <v>VIN FUEL &gt; FKM,ECO,ECO&lt; DATE</v>
          </cell>
          <cell r="E20">
            <v>5.8</v>
          </cell>
          <cell r="F20">
            <v>12.2</v>
          </cell>
          <cell r="G20">
            <v>470</v>
          </cell>
          <cell r="H20" t="str">
            <v>468±2</v>
          </cell>
          <cell r="I20">
            <v>50</v>
          </cell>
        </row>
        <row r="21">
          <cell r="A21" t="str">
            <v>PM-1160</v>
          </cell>
          <cell r="B21" t="str">
            <v>HOSE;F/PMP FUEL FEED</v>
          </cell>
          <cell r="C21" t="str">
            <v>ISD V01-001Y TYPE 2-D</v>
          </cell>
          <cell r="D21" t="str">
            <v>VIN FUEL &gt; FKM,ECO,ECO&lt; DATE</v>
          </cell>
          <cell r="E21">
            <v>9.3000000000000007</v>
          </cell>
          <cell r="F21">
            <v>16.5</v>
          </cell>
          <cell r="G21">
            <v>283</v>
          </cell>
          <cell r="H21" t="str">
            <v>282±2</v>
          </cell>
          <cell r="I21">
            <v>50</v>
          </cell>
        </row>
        <row r="22">
          <cell r="A22" t="str">
            <v>PM-1170</v>
          </cell>
          <cell r="B22" t="str">
            <v>HOSE FUEL FEED TANK SIDE</v>
          </cell>
          <cell r="C22" t="str">
            <v>ISD V01-001Y TYPE 2-D</v>
          </cell>
          <cell r="D22" t="str">
            <v>VIN FUEL &gt; FKM,ECO,ECO&lt; DATE</v>
          </cell>
          <cell r="E22">
            <v>9.3000000000000007</v>
          </cell>
          <cell r="F22">
            <v>16.5</v>
          </cell>
          <cell r="G22">
            <v>240</v>
          </cell>
          <cell r="H22" t="str">
            <v>238±2</v>
          </cell>
          <cell r="I22">
            <v>50</v>
          </cell>
        </row>
        <row r="23">
          <cell r="A23" t="str">
            <v>PM-1180</v>
          </cell>
          <cell r="B23" t="str">
            <v>HOSE; FUEL STRAIG</v>
          </cell>
          <cell r="C23" t="str">
            <v>ISD V01-001Y TYPE 2-D</v>
          </cell>
          <cell r="D23" t="str">
            <v>VIN FUEL &gt; FKM,ECO,ECO&lt; DATE</v>
          </cell>
          <cell r="E23">
            <v>9.3000000000000007</v>
          </cell>
          <cell r="F23">
            <v>16.5</v>
          </cell>
          <cell r="G23">
            <v>655</v>
          </cell>
          <cell r="H23" t="str">
            <v>LOYANG</v>
          </cell>
          <cell r="I23">
            <v>21</v>
          </cell>
        </row>
        <row r="24">
          <cell r="A24" t="str">
            <v>PM-1190</v>
          </cell>
          <cell r="B24" t="str">
            <v>HOSE; FUEL RETURN</v>
          </cell>
          <cell r="C24" t="str">
            <v>ISD V01-001Y TYPE 2-D</v>
          </cell>
          <cell r="D24" t="str">
            <v>VIN FUEL &gt; FKM,ECO,ECO&lt; DATE</v>
          </cell>
          <cell r="E24">
            <v>5.8</v>
          </cell>
          <cell r="F24">
            <v>12.2</v>
          </cell>
          <cell r="G24">
            <v>460</v>
          </cell>
          <cell r="H24" t="str">
            <v>458±1</v>
          </cell>
          <cell r="I24">
            <v>50</v>
          </cell>
        </row>
        <row r="25">
          <cell r="A25" t="str">
            <v>PM-1200</v>
          </cell>
          <cell r="B25" t="str">
            <v>HOSE ASM; FUEL, BE</v>
          </cell>
          <cell r="C25" t="str">
            <v>ISD V01-001Y TYPE 2-D</v>
          </cell>
          <cell r="D25" t="str">
            <v>VIN FUEL &gt; FKM,ECO,ECO&lt; DATE</v>
          </cell>
          <cell r="E25">
            <v>9.3000000000000007</v>
          </cell>
          <cell r="F25">
            <v>17</v>
          </cell>
          <cell r="G25">
            <v>1105</v>
          </cell>
          <cell r="H25" t="str">
            <v>LOYANG</v>
          </cell>
          <cell r="I25">
            <v>12</v>
          </cell>
        </row>
        <row r="26">
          <cell r="A26" t="str">
            <v>PM-1210</v>
          </cell>
          <cell r="B26" t="str">
            <v>HOSE ASM; FUEL, BE</v>
          </cell>
          <cell r="C26" t="str">
            <v>ISD V01-001Y TYPE 2-D</v>
          </cell>
          <cell r="D26" t="str">
            <v>VIN FUEL &gt; FKM,ECO,ECO&lt; DATE</v>
          </cell>
          <cell r="E26">
            <v>9.3000000000000007</v>
          </cell>
          <cell r="F26">
            <v>17</v>
          </cell>
          <cell r="G26">
            <v>535</v>
          </cell>
          <cell r="H26" t="str">
            <v>LOYANG</v>
          </cell>
          <cell r="I26">
            <v>26</v>
          </cell>
        </row>
        <row r="27">
          <cell r="A27" t="str">
            <v>PM-1240</v>
          </cell>
          <cell r="B27" t="str">
            <v>HOSE; FUEL, STRAIGHT</v>
          </cell>
          <cell r="C27" t="str">
            <v>ISD V01-001Y TYPE 2-D</v>
          </cell>
          <cell r="D27" t="str">
            <v>VIN FUEL &gt; FKM,ECO,ECO&lt; DATE</v>
          </cell>
          <cell r="E27">
            <v>7.5</v>
          </cell>
          <cell r="F27">
            <v>13.5</v>
          </cell>
          <cell r="G27">
            <v>765</v>
          </cell>
          <cell r="H27" t="str">
            <v>LOYANG</v>
          </cell>
          <cell r="I27">
            <v>18</v>
          </cell>
        </row>
        <row r="28">
          <cell r="A28" t="str">
            <v>PM-1250</v>
          </cell>
          <cell r="B28" t="str">
            <v>HOSE; FUEL, FEED FRT</v>
          </cell>
          <cell r="C28" t="str">
            <v>ISD V01-001Y TYPE 2-D</v>
          </cell>
          <cell r="D28" t="str">
            <v>VIN FUEL &gt; FKM,ECO,ECO&lt; DATE</v>
          </cell>
          <cell r="E28">
            <v>9.3000000000000007</v>
          </cell>
          <cell r="F28">
            <v>17</v>
          </cell>
          <cell r="G28">
            <v>505</v>
          </cell>
          <cell r="H28">
            <v>500</v>
          </cell>
          <cell r="I28">
            <v>50</v>
          </cell>
        </row>
        <row r="29">
          <cell r="A29" t="str">
            <v>PM-1260</v>
          </cell>
          <cell r="B29" t="str">
            <v>HOSE; FUEL</v>
          </cell>
          <cell r="C29" t="str">
            <v>ISD-V01-001K_E</v>
          </cell>
          <cell r="D29" t="str">
            <v>VIN FUEL &gt; FKM,ECO,ECO&lt; DATE</v>
          </cell>
          <cell r="E29">
            <v>5.8</v>
          </cell>
          <cell r="F29">
            <v>12.2</v>
          </cell>
          <cell r="G29">
            <v>380</v>
          </cell>
          <cell r="H29" t="str">
            <v>370±2</v>
          </cell>
          <cell r="I29">
            <v>50</v>
          </cell>
        </row>
        <row r="30">
          <cell r="A30" t="str">
            <v>PM-1290</v>
          </cell>
          <cell r="B30" t="str">
            <v>HOSE; FUEL, FEED</v>
          </cell>
          <cell r="C30" t="str">
            <v>ISD-V01-001Y TYPE 2D</v>
          </cell>
          <cell r="D30" t="str">
            <v>VIN FUEL &gt; FKM,ECO,ECO&lt; DATE</v>
          </cell>
          <cell r="E30">
            <v>9.3000000000000007</v>
          </cell>
          <cell r="F30">
            <v>17</v>
          </cell>
          <cell r="G30">
            <v>1415</v>
          </cell>
          <cell r="H30" t="str">
            <v>LOYANG</v>
          </cell>
          <cell r="I30">
            <v>9</v>
          </cell>
        </row>
        <row r="31">
          <cell r="A31" t="str">
            <v>PM-1300</v>
          </cell>
          <cell r="B31" t="str">
            <v>HOSE; FUEL RETURN</v>
          </cell>
          <cell r="C31" t="str">
            <v>ISD-V01-001Y TYPE 2D</v>
          </cell>
          <cell r="D31" t="str">
            <v>VIN FUEL &gt; FKM,ECO,ECO&lt; DATE</v>
          </cell>
          <cell r="E31">
            <v>5.8</v>
          </cell>
          <cell r="F31">
            <v>12.2</v>
          </cell>
          <cell r="G31">
            <v>1040</v>
          </cell>
          <cell r="H31" t="str">
            <v>LOYANG</v>
          </cell>
          <cell r="I31">
            <v>17</v>
          </cell>
        </row>
        <row r="32">
          <cell r="A32" t="str">
            <v>PM-1310</v>
          </cell>
          <cell r="B32" t="str">
            <v>HOSE; FUEL, DEL, PIPE TO SEDI</v>
          </cell>
          <cell r="C32" t="str">
            <v>ISD-V01-001Y TYPE 2D</v>
          </cell>
          <cell r="D32" t="str">
            <v>VIN FUEL &gt; FKM,ECO,ECO&lt; DATE</v>
          </cell>
          <cell r="E32">
            <v>9.3000000000000007</v>
          </cell>
          <cell r="F32">
            <v>17</v>
          </cell>
          <cell r="G32">
            <v>360</v>
          </cell>
          <cell r="I32">
            <v>50</v>
          </cell>
        </row>
        <row r="33">
          <cell r="A33" t="str">
            <v>PM-1320</v>
          </cell>
          <cell r="B33" t="str">
            <v>HOSE ASM; FUEL, STRAIGHT TYPE</v>
          </cell>
          <cell r="C33" t="str">
            <v>ISD-V01-001Y TYPE 2D</v>
          </cell>
          <cell r="D33" t="str">
            <v>VIN FUEL &gt; FKM,ECO,ECO&lt; DATE</v>
          </cell>
          <cell r="E33">
            <v>5.8</v>
          </cell>
          <cell r="F33">
            <v>12.2</v>
          </cell>
          <cell r="G33">
            <v>400</v>
          </cell>
          <cell r="I33">
            <v>50</v>
          </cell>
        </row>
        <row r="34">
          <cell r="A34" t="str">
            <v>PM-1370</v>
          </cell>
          <cell r="B34" t="str">
            <v>HOSE; FUEL, STRAIGHT</v>
          </cell>
          <cell r="C34" t="str">
            <v>ISD-V01-001Y TYPE 2D</v>
          </cell>
          <cell r="D34" t="str">
            <v>VIN FUEL &gt; FKM,ECO,ECO&lt; DATE</v>
          </cell>
          <cell r="E34">
            <v>9.3000000000000007</v>
          </cell>
          <cell r="F34">
            <v>17</v>
          </cell>
          <cell r="G34">
            <v>439</v>
          </cell>
          <cell r="H34" t="str">
            <v>425±2</v>
          </cell>
          <cell r="I34">
            <v>50</v>
          </cell>
        </row>
        <row r="35">
          <cell r="A35" t="str">
            <v>PM-1410</v>
          </cell>
          <cell r="B35" t="str">
            <v>HOSE; FUEL, RET, ENG SIDE</v>
          </cell>
          <cell r="C35" t="str">
            <v>ISD-V01-001Y TYPE 2D</v>
          </cell>
          <cell r="D35" t="str">
            <v>VIN FUEL &gt; FKM,ECO,ECO&lt; DATE</v>
          </cell>
          <cell r="E35">
            <v>5.8</v>
          </cell>
          <cell r="F35">
            <v>12.2</v>
          </cell>
          <cell r="G35">
            <v>395</v>
          </cell>
          <cell r="H35" t="str">
            <v>393±2</v>
          </cell>
          <cell r="I35">
            <v>50</v>
          </cell>
        </row>
        <row r="36">
          <cell r="A36" t="str">
            <v>PM-1420</v>
          </cell>
          <cell r="B36" t="str">
            <v>HOSE; FUEL, BENT TYPE DELIVERY</v>
          </cell>
          <cell r="C36" t="str">
            <v>ISD-V01-001Y TYPE 2D</v>
          </cell>
          <cell r="D36" t="str">
            <v>VIN FUEL &gt; FKM,ECO,ECO&lt; DATE</v>
          </cell>
          <cell r="E36">
            <v>9.3000000000000007</v>
          </cell>
          <cell r="F36">
            <v>17</v>
          </cell>
          <cell r="G36">
            <v>453</v>
          </cell>
          <cell r="H36" t="str">
            <v>448±2</v>
          </cell>
          <cell r="I36">
            <v>50</v>
          </cell>
        </row>
        <row r="37">
          <cell r="A37" t="str">
            <v>PM-1440</v>
          </cell>
          <cell r="B37" t="str">
            <v>HOSE; FUEL, STRAIGHT TYPE</v>
          </cell>
          <cell r="C37" t="str">
            <v>ISD-V01-001Y TYPE 2D</v>
          </cell>
          <cell r="D37" t="str">
            <v>VIN FUEL &gt; FKM,ECO,ECO&lt; DATE</v>
          </cell>
          <cell r="E37">
            <v>5.8</v>
          </cell>
          <cell r="F37">
            <v>12.2</v>
          </cell>
          <cell r="G37">
            <v>1910</v>
          </cell>
          <cell r="H37" t="str">
            <v>LOYANG</v>
          </cell>
        </row>
        <row r="38">
          <cell r="A38" t="str">
            <v>PM-1450</v>
          </cell>
          <cell r="B38" t="str">
            <v>HOSE; FUEL STRAIGHT, DIFFERENT DIAMETER</v>
          </cell>
          <cell r="C38" t="str">
            <v>ISD-V01-001Y TYPE 2D</v>
          </cell>
          <cell r="D38" t="str">
            <v>VIN FUEL &gt; FKM,ECO,ECO&lt; DATE</v>
          </cell>
          <cell r="E38">
            <v>9.3000000000000007</v>
          </cell>
          <cell r="F38">
            <v>17</v>
          </cell>
          <cell r="G38">
            <v>1615</v>
          </cell>
          <cell r="H38" t="str">
            <v>LOYANG</v>
          </cell>
        </row>
        <row r="39">
          <cell r="A39" t="str">
            <v>PM-1470</v>
          </cell>
          <cell r="B39" t="str">
            <v>HOSE; FUEL FEED, B</v>
          </cell>
          <cell r="C39" t="str">
            <v>ISD-V01-001Y TYPE 2D</v>
          </cell>
          <cell r="D39" t="str">
            <v>VIN FUEL &gt; FKM,ECO,ECO&lt; DATE</v>
          </cell>
          <cell r="E39">
            <v>11.3</v>
          </cell>
          <cell r="F39">
            <v>19.5</v>
          </cell>
          <cell r="G39">
            <v>393</v>
          </cell>
        </row>
        <row r="40">
          <cell r="A40" t="str">
            <v>PM-1480</v>
          </cell>
          <cell r="B40" t="str">
            <v>HOSE FUEL FEED STRAIGHT</v>
          </cell>
          <cell r="C40" t="str">
            <v>ISD-V01-001Y TYPE 2D</v>
          </cell>
          <cell r="D40" t="str">
            <v>VIN FUEL &gt; FKM,ECO,ECO&lt; DATE</v>
          </cell>
          <cell r="E40">
            <v>9.3000000000000007</v>
          </cell>
          <cell r="F40">
            <v>17</v>
          </cell>
          <cell r="G40">
            <v>940</v>
          </cell>
        </row>
        <row r="41">
          <cell r="A41" t="str">
            <v>PM-1490</v>
          </cell>
          <cell r="B41" t="str">
            <v>HOSE; FUEL FEED, C</v>
          </cell>
          <cell r="C41" t="str">
            <v>ISD-V01-001Y TYPE 2D</v>
          </cell>
          <cell r="D41" t="str">
            <v>VIN FUEL &gt; FKM,ECO,ECO&lt; DATE</v>
          </cell>
          <cell r="E41">
            <v>11.3</v>
          </cell>
          <cell r="F41">
            <v>19.5</v>
          </cell>
          <cell r="G41">
            <v>665</v>
          </cell>
        </row>
        <row r="42">
          <cell r="A42" t="str">
            <v>PM-1500</v>
          </cell>
          <cell r="D42" t="str">
            <v>VIN FUEL &gt; FKM,ECO,ECO&lt; DATE</v>
          </cell>
          <cell r="E42">
            <v>11.3</v>
          </cell>
          <cell r="F42">
            <v>19.3</v>
          </cell>
          <cell r="G42">
            <v>330</v>
          </cell>
          <cell r="H42" t="str">
            <v>328±2</v>
          </cell>
        </row>
        <row r="43">
          <cell r="A43" t="str">
            <v>TA-0804</v>
          </cell>
          <cell r="B43" t="str">
            <v>HOSE, AIR NO. 2</v>
          </cell>
          <cell r="C43" t="str">
            <v>TSM1652G-6</v>
          </cell>
          <cell r="D43" t="str">
            <v>DOT IP DATE 7.5 VL&gt;CR,NBR&lt;</v>
          </cell>
          <cell r="E43">
            <v>7.5</v>
          </cell>
          <cell r="F43">
            <v>16</v>
          </cell>
          <cell r="G43">
            <v>289</v>
          </cell>
          <cell r="H43" t="str">
            <v>284±2</v>
          </cell>
          <cell r="I43">
            <v>50</v>
          </cell>
        </row>
        <row r="44">
          <cell r="A44" t="str">
            <v>TA-0811</v>
          </cell>
          <cell r="B44" t="str">
            <v>HOSE, AIR NO.2</v>
          </cell>
          <cell r="C44" t="str">
            <v>TSM1652G-6</v>
          </cell>
          <cell r="D44" t="str">
            <v>DOT IP DATE 7.5 VL&gt;CR,NBR&lt;</v>
          </cell>
          <cell r="E44">
            <v>7.5</v>
          </cell>
          <cell r="F44">
            <v>16</v>
          </cell>
          <cell r="G44">
            <v>474</v>
          </cell>
          <cell r="H44" t="str">
            <v>463±2</v>
          </cell>
          <cell r="I44">
            <v>50</v>
          </cell>
        </row>
        <row r="45">
          <cell r="A45" t="str">
            <v>TA-1090</v>
          </cell>
          <cell r="B45" t="str">
            <v>HOSE, FUEL NO. 1</v>
          </cell>
          <cell r="C45" t="str">
            <v>TSM16544G-7</v>
          </cell>
          <cell r="D45" t="str">
            <v>VIN 10 &gt;GECO,NBR,HNBR&lt;DATE</v>
          </cell>
          <cell r="E45">
            <v>9.5</v>
          </cell>
          <cell r="F45">
            <v>16.5</v>
          </cell>
          <cell r="G45">
            <v>543</v>
          </cell>
          <cell r="H45" t="str">
            <v>530±5</v>
          </cell>
          <cell r="I45">
            <v>50</v>
          </cell>
        </row>
        <row r="46">
          <cell r="A46" t="str">
            <v>TA-121A</v>
          </cell>
          <cell r="B46" t="str">
            <v>HOSE, AIR NO.1</v>
          </cell>
          <cell r="C46" t="str">
            <v>TSM1652G-6</v>
          </cell>
          <cell r="D46" t="str">
            <v>DOT IP DATE 7.5 VL&gt;CR, NBR&lt;</v>
          </cell>
          <cell r="E46">
            <v>7.5</v>
          </cell>
          <cell r="F46">
            <v>16</v>
          </cell>
          <cell r="G46">
            <v>328</v>
          </cell>
          <cell r="H46" t="str">
            <v>320±2</v>
          </cell>
          <cell r="I46">
            <v>50</v>
          </cell>
        </row>
        <row r="47">
          <cell r="A47" t="str">
            <v>TA-136A</v>
          </cell>
          <cell r="B47" t="str">
            <v>HOSE, AIR NO 1</v>
          </cell>
          <cell r="C47" t="str">
            <v>TSM1652G-6</v>
          </cell>
          <cell r="D47" t="str">
            <v>DOT IP DATE 7.5 VL&gt;CR, NBR&lt;</v>
          </cell>
          <cell r="E47">
            <v>7.5</v>
          </cell>
          <cell r="F47">
            <v>16</v>
          </cell>
          <cell r="G47">
            <v>532</v>
          </cell>
          <cell r="H47" t="str">
            <v>523±3</v>
          </cell>
          <cell r="I47">
            <v>50</v>
          </cell>
        </row>
        <row r="48">
          <cell r="A48" t="str">
            <v>TA-1371</v>
          </cell>
          <cell r="B48" t="str">
            <v>HOSE, FUEL NO. 2 (PART 1)</v>
          </cell>
          <cell r="C48" t="str">
            <v>TSM1644G-5</v>
          </cell>
          <cell r="D48" t="str">
            <v>VIN 08 &gt;GECO, NBR, FKM&lt;DATE</v>
          </cell>
          <cell r="E48">
            <v>7.6</v>
          </cell>
          <cell r="F48">
            <v>14</v>
          </cell>
          <cell r="G48">
            <v>555</v>
          </cell>
          <cell r="H48" t="str">
            <v>536±2</v>
          </cell>
          <cell r="I48">
            <v>50</v>
          </cell>
        </row>
        <row r="49">
          <cell r="A49" t="str">
            <v>TA-1372</v>
          </cell>
          <cell r="B49" t="str">
            <v>HOSE, FUEL NO. 2 (PART 2)</v>
          </cell>
          <cell r="C49" t="str">
            <v>TSM1644G-5</v>
          </cell>
          <cell r="D49" t="str">
            <v>VIN 08 &gt;GECO, NBR, FKM&lt;DATE</v>
          </cell>
          <cell r="E49">
            <v>7.6</v>
          </cell>
          <cell r="F49">
            <v>14</v>
          </cell>
          <cell r="G49">
            <v>213</v>
          </cell>
          <cell r="H49" t="str">
            <v>203±1</v>
          </cell>
          <cell r="I49">
            <v>50</v>
          </cell>
        </row>
        <row r="50">
          <cell r="A50" t="str">
            <v>TA-1380</v>
          </cell>
          <cell r="B50" t="str">
            <v>HOSE, FUEL NO.1</v>
          </cell>
          <cell r="C50" t="str">
            <v>TSM1644G-7</v>
          </cell>
          <cell r="D50" t="str">
            <v>VIN 08 &gt;GECO, NBR, FKM&lt;DATE</v>
          </cell>
          <cell r="E50">
            <v>7.6</v>
          </cell>
          <cell r="F50">
            <v>14</v>
          </cell>
          <cell r="G50">
            <v>663</v>
          </cell>
          <cell r="H50" t="str">
            <v>651±1</v>
          </cell>
          <cell r="I50">
            <v>50</v>
          </cell>
        </row>
        <row r="51">
          <cell r="A51" t="str">
            <v>TA-148A</v>
          </cell>
          <cell r="B51" t="str">
            <v>HOSE, AIR NO.1</v>
          </cell>
          <cell r="C51" t="str">
            <v>TSM1652G-6</v>
          </cell>
          <cell r="D51" t="str">
            <v>DOT IP DATE 7.5 VL&gt;CR, NBR&lt;</v>
          </cell>
          <cell r="E51">
            <v>7.5</v>
          </cell>
          <cell r="F51">
            <v>16</v>
          </cell>
          <cell r="G51">
            <v>397</v>
          </cell>
          <cell r="H51" t="str">
            <v>388±3</v>
          </cell>
          <cell r="I51">
            <v>50</v>
          </cell>
        </row>
        <row r="52">
          <cell r="A52" t="str">
            <v>TA-149A</v>
          </cell>
          <cell r="B52" t="str">
            <v>HOSE, FUEL NO. 2</v>
          </cell>
          <cell r="C52" t="str">
            <v>TSM1644G-7</v>
          </cell>
          <cell r="D52" t="str">
            <v>VIN 06 &gt;GECO, NBR, HNBR&lt;DATE</v>
          </cell>
          <cell r="E52">
            <v>5.8</v>
          </cell>
          <cell r="F52">
            <v>12.2</v>
          </cell>
          <cell r="G52">
            <v>545</v>
          </cell>
          <cell r="H52" t="str">
            <v>532±2</v>
          </cell>
          <cell r="I52">
            <v>50</v>
          </cell>
        </row>
        <row r="53">
          <cell r="A53" t="str">
            <v>TA-1551</v>
          </cell>
          <cell r="B53" t="str">
            <v>HOSE, AIR NO. 2</v>
          </cell>
          <cell r="C53" t="str">
            <v>TSM1652G-6</v>
          </cell>
          <cell r="D53" t="str">
            <v>DOT IP DATE 7.5 VL &gt;CR,NBR&lt;</v>
          </cell>
          <cell r="E53">
            <v>7.5</v>
          </cell>
          <cell r="F53">
            <v>16</v>
          </cell>
          <cell r="G53">
            <v>427</v>
          </cell>
          <cell r="H53" t="str">
            <v>417±3</v>
          </cell>
          <cell r="I53">
            <v>50</v>
          </cell>
        </row>
        <row r="54">
          <cell r="A54" t="str">
            <v>TA-1561</v>
          </cell>
          <cell r="B54" t="str">
            <v>HOSE, AIR NO.2</v>
          </cell>
          <cell r="C54" t="str">
            <v>TSM1652G-6</v>
          </cell>
          <cell r="D54" t="str">
            <v>DOT IP DATE 7.5 VL &gt;CR,NBR&lt;</v>
          </cell>
          <cell r="E54">
            <v>7.5</v>
          </cell>
          <cell r="F54">
            <v>16</v>
          </cell>
          <cell r="G54">
            <v>423</v>
          </cell>
          <cell r="H54" t="str">
            <v>413±3</v>
          </cell>
          <cell r="I54">
            <v>50</v>
          </cell>
        </row>
        <row r="55">
          <cell r="A55" t="str">
            <v>TA-1731</v>
          </cell>
          <cell r="B55" t="str">
            <v>HOSE, FUEL NO. 3</v>
          </cell>
          <cell r="C55" t="str">
            <v>TSM1644G-5</v>
          </cell>
          <cell r="D55" t="str">
            <v>VIN 08 &gt;GECO, NBR, FKM&lt;DATE</v>
          </cell>
          <cell r="E55">
            <v>7.6</v>
          </cell>
          <cell r="F55">
            <v>14</v>
          </cell>
          <cell r="G55">
            <v>477</v>
          </cell>
          <cell r="H55" t="str">
            <v>460±2</v>
          </cell>
          <cell r="I55">
            <v>50</v>
          </cell>
        </row>
        <row r="56">
          <cell r="A56" t="str">
            <v>TA-1732</v>
          </cell>
          <cell r="B56" t="str">
            <v>HOSE, FUEL (PART 1)</v>
          </cell>
          <cell r="C56" t="str">
            <v>TSM1644G-7</v>
          </cell>
          <cell r="D56" t="str">
            <v>VIN 10 &gt;GECO, NBR, HNBR&lt;DATE</v>
          </cell>
          <cell r="E56">
            <v>9.5</v>
          </cell>
          <cell r="F56">
            <v>16.5</v>
          </cell>
          <cell r="G56">
            <v>439</v>
          </cell>
          <cell r="H56" t="str">
            <v>428±4</v>
          </cell>
          <cell r="I56">
            <v>50</v>
          </cell>
        </row>
        <row r="57">
          <cell r="A57" t="str">
            <v>TA-1733</v>
          </cell>
          <cell r="B57" t="str">
            <v>HOSE, FUEL (PART 2)</v>
          </cell>
          <cell r="C57" t="str">
            <v>TSM1644G-7</v>
          </cell>
          <cell r="D57" t="str">
            <v>VIN 10 &gt;GECO, NBR, HNBR&lt;DATE</v>
          </cell>
          <cell r="E57">
            <v>9.5</v>
          </cell>
          <cell r="F57">
            <v>16.5</v>
          </cell>
          <cell r="G57">
            <v>234</v>
          </cell>
          <cell r="H57" t="str">
            <v>227±2</v>
          </cell>
          <cell r="I57">
            <v>50</v>
          </cell>
        </row>
        <row r="58">
          <cell r="A58" t="str">
            <v>TA-1741</v>
          </cell>
          <cell r="B58" t="str">
            <v>HOSE, FUEL</v>
          </cell>
          <cell r="C58" t="str">
            <v>TSM1644G-7</v>
          </cell>
          <cell r="D58" t="str">
            <v>VIN 10 &gt;GECO, NBR, HNBR&lt;DATE</v>
          </cell>
          <cell r="E58">
            <v>9.5</v>
          </cell>
          <cell r="F58">
            <v>16.5</v>
          </cell>
          <cell r="G58">
            <v>451</v>
          </cell>
          <cell r="H58" t="str">
            <v>441±4</v>
          </cell>
          <cell r="I58">
            <v>50</v>
          </cell>
        </row>
        <row r="59">
          <cell r="A59" t="str">
            <v>TA-1742</v>
          </cell>
          <cell r="B59" t="str">
            <v>HOSE, FUEL NO. 3</v>
          </cell>
          <cell r="C59" t="str">
            <v>TSM1644G-5</v>
          </cell>
          <cell r="D59" t="str">
            <v>VIN 08 &gt;GECO, NBR, FKM&lt;DATE</v>
          </cell>
          <cell r="E59">
            <v>7.6</v>
          </cell>
          <cell r="F59">
            <v>14</v>
          </cell>
          <cell r="G59">
            <v>519</v>
          </cell>
          <cell r="H59" t="str">
            <v>501±2</v>
          </cell>
          <cell r="I59">
            <v>50</v>
          </cell>
        </row>
        <row r="60">
          <cell r="A60" t="str">
            <v>TA-1800</v>
          </cell>
          <cell r="B60" t="str">
            <v>HOSE, AIR NO. 1</v>
          </cell>
          <cell r="C60" t="str">
            <v>TSM1652G-6</v>
          </cell>
          <cell r="D60" t="str">
            <v>DOT IP DATE 7.5 VL &gt;CR,NBR&lt;</v>
          </cell>
          <cell r="E60">
            <v>7.5</v>
          </cell>
          <cell r="F60">
            <v>16</v>
          </cell>
          <cell r="G60">
            <v>629</v>
          </cell>
          <cell r="H60" t="str">
            <v>616±4</v>
          </cell>
          <cell r="I60">
            <v>50</v>
          </cell>
        </row>
        <row r="61">
          <cell r="A61" t="str">
            <v>TA-1810</v>
          </cell>
          <cell r="B61" t="str">
            <v>HOSE, AIR NO. 2</v>
          </cell>
          <cell r="C61" t="str">
            <v>TSM1652G-6</v>
          </cell>
          <cell r="D61" t="str">
            <v>DOT IP DATE 7,5 VL &gt;CR,NBR&lt;</v>
          </cell>
          <cell r="E61">
            <v>7.5</v>
          </cell>
          <cell r="F61">
            <v>16</v>
          </cell>
          <cell r="G61">
            <v>362</v>
          </cell>
          <cell r="H61" t="str">
            <v>354±2</v>
          </cell>
          <cell r="I61">
            <v>50</v>
          </cell>
        </row>
        <row r="62">
          <cell r="A62" t="str">
            <v>TA-1941</v>
          </cell>
          <cell r="B62" t="str">
            <v>HOSE, FUEL NO. 2 (PART 1)</v>
          </cell>
          <cell r="C62" t="str">
            <v>TSM1644G-5</v>
          </cell>
          <cell r="D62" t="str">
            <v>VIN 08 &gt;GECO, NBR, FKM&lt; DATE</v>
          </cell>
          <cell r="E62">
            <v>7.6</v>
          </cell>
          <cell r="F62">
            <v>14</v>
          </cell>
          <cell r="G62">
            <v>425</v>
          </cell>
          <cell r="H62" t="str">
            <v>410±2</v>
          </cell>
          <cell r="I62">
            <v>50</v>
          </cell>
        </row>
        <row r="63">
          <cell r="A63" t="str">
            <v>TA-1942</v>
          </cell>
          <cell r="B63" t="str">
            <v>HOSE, FUEL NO. 2 (PART 2)</v>
          </cell>
          <cell r="C63" t="str">
            <v>TSM1644G-5</v>
          </cell>
          <cell r="D63" t="str">
            <v>VIN 08 &gt;GECO, NBR, FKM&lt; DATE</v>
          </cell>
          <cell r="E63">
            <v>7.6</v>
          </cell>
          <cell r="F63">
            <v>14</v>
          </cell>
          <cell r="G63">
            <v>284</v>
          </cell>
          <cell r="H63" t="str">
            <v>272±1</v>
          </cell>
          <cell r="I63">
            <v>50</v>
          </cell>
        </row>
        <row r="64">
          <cell r="A64" t="str">
            <v>TA-1950</v>
          </cell>
          <cell r="B64" t="str">
            <v>HOSE, FUEL NO. 2 (PART 1)</v>
          </cell>
          <cell r="C64" t="str">
            <v>TSM1644G-5</v>
          </cell>
          <cell r="D64" t="str">
            <v>VIN 08 &gt;GECO, NBR, FKM&lt; DATE</v>
          </cell>
          <cell r="E64">
            <v>7.6</v>
          </cell>
          <cell r="F64">
            <v>14</v>
          </cell>
          <cell r="G64">
            <v>627</v>
          </cell>
          <cell r="H64" t="str">
            <v>606±3</v>
          </cell>
          <cell r="I64">
            <v>50</v>
          </cell>
        </row>
        <row r="65">
          <cell r="A65" t="str">
            <v>TA-1980</v>
          </cell>
          <cell r="B65" t="str">
            <v>HOSE, AIR NO. 1</v>
          </cell>
          <cell r="C65" t="str">
            <v>TSM1652G-6</v>
          </cell>
          <cell r="D65" t="str">
            <v>DOT IP DATE 7,5 VL &gt;CR,NBR&lt;</v>
          </cell>
          <cell r="E65">
            <v>7.5</v>
          </cell>
          <cell r="F65">
            <v>16</v>
          </cell>
          <cell r="G65">
            <v>667</v>
          </cell>
          <cell r="H65" t="str">
            <v>653±4</v>
          </cell>
          <cell r="I65">
            <v>50</v>
          </cell>
        </row>
        <row r="66">
          <cell r="A66" t="str">
            <v>TA-198A</v>
          </cell>
          <cell r="B66" t="str">
            <v>HOSE, AIR NO. 1</v>
          </cell>
          <cell r="C66" t="str">
            <v>TSM1652G-6</v>
          </cell>
          <cell r="D66" t="str">
            <v>DOT IP DATE 7,5 VL &gt;CR,NBR&lt;</v>
          </cell>
          <cell r="E66">
            <v>7.5</v>
          </cell>
          <cell r="F66">
            <v>16</v>
          </cell>
          <cell r="G66">
            <v>682</v>
          </cell>
          <cell r="H66" t="str">
            <v>668±4</v>
          </cell>
          <cell r="I66">
            <v>50</v>
          </cell>
        </row>
        <row r="67">
          <cell r="A67" t="str">
            <v>TA-199A</v>
          </cell>
          <cell r="B67" t="str">
            <v>HOSE, AIR NO. 3</v>
          </cell>
          <cell r="C67" t="str">
            <v>TSM1652G-6</v>
          </cell>
          <cell r="D67" t="str">
            <v>DOT IP DATE 7,5 VL &gt;CR,NBR&lt;</v>
          </cell>
          <cell r="E67">
            <v>7.5</v>
          </cell>
          <cell r="F67">
            <v>16</v>
          </cell>
          <cell r="G67">
            <v>492</v>
          </cell>
          <cell r="H67" t="str">
            <v>481±3</v>
          </cell>
          <cell r="I67">
            <v>50</v>
          </cell>
        </row>
        <row r="68">
          <cell r="A68" t="str">
            <v>TA-2005</v>
          </cell>
          <cell r="B68" t="str">
            <v>HOSE, AIR NO. 2</v>
          </cell>
          <cell r="C68" t="str">
            <v>TSM1652G-6</v>
          </cell>
          <cell r="D68" t="str">
            <v>DOT IP DATE 7,5 VL &gt;CR,NBR&lt;</v>
          </cell>
          <cell r="E68">
            <v>7.5</v>
          </cell>
          <cell r="F68">
            <v>16</v>
          </cell>
          <cell r="G68">
            <v>373</v>
          </cell>
          <cell r="H68" t="str">
            <v>364±2</v>
          </cell>
          <cell r="I68">
            <v>50</v>
          </cell>
        </row>
        <row r="69">
          <cell r="A69" t="str">
            <v>TA-2521</v>
          </cell>
          <cell r="B69" t="str">
            <v>HOSE, FUEL NO. 2 (PART 1)</v>
          </cell>
          <cell r="C69" t="str">
            <v>TSM1644G-5</v>
          </cell>
          <cell r="D69" t="str">
            <v>VIN 08 &gt;GECO, NBR, FKM&lt; DATE</v>
          </cell>
          <cell r="E69">
            <v>7.6</v>
          </cell>
          <cell r="F69">
            <v>14</v>
          </cell>
          <cell r="G69">
            <v>376</v>
          </cell>
          <cell r="H69" t="str">
            <v>362±2</v>
          </cell>
          <cell r="I69">
            <v>50</v>
          </cell>
        </row>
        <row r="70">
          <cell r="A70" t="str">
            <v>TA-2522</v>
          </cell>
          <cell r="B70" t="str">
            <v>HOSE, FUEL NO. 2 (PART 2)</v>
          </cell>
          <cell r="C70" t="str">
            <v>TSM1644G-5</v>
          </cell>
          <cell r="D70" t="str">
            <v>VIN 08 &gt;GECO, NBR, FKM&lt; DATE</v>
          </cell>
          <cell r="E70">
            <v>7.6</v>
          </cell>
          <cell r="F70">
            <v>14</v>
          </cell>
          <cell r="G70">
            <v>366</v>
          </cell>
          <cell r="H70" t="str">
            <v>352±2</v>
          </cell>
          <cell r="I70">
            <v>50</v>
          </cell>
        </row>
        <row r="71">
          <cell r="A71" t="str">
            <v>TA-2531</v>
          </cell>
          <cell r="B71" t="str">
            <v>HOSE, FUEL</v>
          </cell>
          <cell r="C71" t="str">
            <v>TSM1644G-7</v>
          </cell>
          <cell r="D71" t="str">
            <v>VIN 10 &gt;GECO, NBR, HNBR&lt; DATE</v>
          </cell>
          <cell r="E71">
            <v>9.5</v>
          </cell>
          <cell r="F71">
            <v>16.5</v>
          </cell>
          <cell r="G71">
            <v>543</v>
          </cell>
          <cell r="H71" t="str">
            <v>530±5</v>
          </cell>
          <cell r="I71">
            <v>50</v>
          </cell>
        </row>
        <row r="72">
          <cell r="A72" t="str">
            <v>TA-2532</v>
          </cell>
          <cell r="B72" t="str">
            <v>HOSE, FUEL NO. 3</v>
          </cell>
          <cell r="C72" t="str">
            <v>TSM1644G-5</v>
          </cell>
          <cell r="D72" t="str">
            <v>VIN 08 &gt;GECO, NBR, FKM&lt; DATE</v>
          </cell>
          <cell r="E72">
            <v>7.6</v>
          </cell>
          <cell r="F72">
            <v>14</v>
          </cell>
          <cell r="G72">
            <v>554</v>
          </cell>
          <cell r="H72" t="str">
            <v>535±2</v>
          </cell>
          <cell r="I72">
            <v>50</v>
          </cell>
        </row>
        <row r="73">
          <cell r="A73" t="str">
            <v>TA-2541</v>
          </cell>
          <cell r="B73" t="str">
            <v>HOSE, FUEL NO. 2 (PART 1)</v>
          </cell>
          <cell r="C73" t="str">
            <v>TSM1644G-5</v>
          </cell>
          <cell r="D73" t="str">
            <v>VIN 08 &gt;GECO, NBR, FKM&lt; DATE</v>
          </cell>
          <cell r="E73">
            <v>7.6</v>
          </cell>
          <cell r="F73">
            <v>14</v>
          </cell>
          <cell r="G73">
            <v>464</v>
          </cell>
          <cell r="H73" t="str">
            <v>441±2</v>
          </cell>
          <cell r="I73">
            <v>50</v>
          </cell>
        </row>
        <row r="74">
          <cell r="A74" t="str">
            <v>TA-2542</v>
          </cell>
          <cell r="B74" t="str">
            <v>HOSE, FUEL NO. 2 (PART 2)</v>
          </cell>
          <cell r="C74" t="str">
            <v>TSM1644G-5</v>
          </cell>
          <cell r="D74" t="str">
            <v>VIN 08 &gt;GECO, NBR, FKM&lt; DATE</v>
          </cell>
          <cell r="E74">
            <v>7.6</v>
          </cell>
          <cell r="F74">
            <v>14</v>
          </cell>
          <cell r="G74">
            <v>356</v>
          </cell>
          <cell r="H74" t="str">
            <v>342±2</v>
          </cell>
          <cell r="I74">
            <v>50</v>
          </cell>
        </row>
        <row r="75">
          <cell r="A75" t="str">
            <v>TA-2551</v>
          </cell>
          <cell r="B75" t="str">
            <v>HOSE, FUEL NO. 2 (PART 1)</v>
          </cell>
          <cell r="C75" t="str">
            <v>TSM1644G-5</v>
          </cell>
          <cell r="D75" t="str">
            <v>VIN 08 &gt;GECO, NBR, FKM&lt; DATE</v>
          </cell>
          <cell r="E75">
            <v>7.6</v>
          </cell>
          <cell r="F75">
            <v>14</v>
          </cell>
          <cell r="G75">
            <v>446</v>
          </cell>
          <cell r="H75" t="str">
            <v>430±2</v>
          </cell>
          <cell r="I75">
            <v>50</v>
          </cell>
        </row>
        <row r="76">
          <cell r="A76" t="str">
            <v>TA-2552</v>
          </cell>
          <cell r="B76" t="str">
            <v>HOSE, FUEL NO. 2 (PART 2)</v>
          </cell>
          <cell r="C76" t="str">
            <v>TSM1644G-5</v>
          </cell>
          <cell r="D76" t="str">
            <v>VIN 08 &gt;GECO, NBR, FKM&lt; DATE</v>
          </cell>
          <cell r="E76">
            <v>7.6</v>
          </cell>
          <cell r="F76">
            <v>14</v>
          </cell>
          <cell r="G76">
            <v>423</v>
          </cell>
          <cell r="H76" t="str">
            <v>408±2</v>
          </cell>
          <cell r="I76">
            <v>50</v>
          </cell>
        </row>
        <row r="77">
          <cell r="A77" t="str">
            <v>TA-2580</v>
          </cell>
          <cell r="B77" t="str">
            <v>HOSE, FUEL NO. 1</v>
          </cell>
          <cell r="C77" t="str">
            <v>TSM1644G-7</v>
          </cell>
          <cell r="D77" t="str">
            <v>VIN 10 &gt;GECO, NBR, HNBR&lt; DATE</v>
          </cell>
          <cell r="E77">
            <v>9.5</v>
          </cell>
          <cell r="F77">
            <v>16.5</v>
          </cell>
          <cell r="G77">
            <v>570</v>
          </cell>
          <cell r="H77" t="str">
            <v>558±2</v>
          </cell>
          <cell r="I77">
            <v>50</v>
          </cell>
        </row>
        <row r="78">
          <cell r="A78" t="str">
            <v>TA-2950</v>
          </cell>
          <cell r="B78" t="str">
            <v>HOSE, AIR NO. 1</v>
          </cell>
          <cell r="C78" t="str">
            <v>DTSM1652G-6</v>
          </cell>
          <cell r="D78" t="str">
            <v>DOT IP DATE 7,5 VL &gt;CR,NBR&lt;</v>
          </cell>
          <cell r="E78">
            <v>7.5</v>
          </cell>
          <cell r="F78">
            <v>16</v>
          </cell>
          <cell r="G78">
            <v>470</v>
          </cell>
          <cell r="H78" t="str">
            <v>462±2</v>
          </cell>
          <cell r="I78">
            <v>50</v>
          </cell>
        </row>
        <row r="79">
          <cell r="A79" t="str">
            <v>TA-2970</v>
          </cell>
          <cell r="B79" t="str">
            <v>HOSE, MOTOR COOLING, NO. 1</v>
          </cell>
          <cell r="C79" t="str">
            <v>TSM1659G-3</v>
          </cell>
          <cell r="D79" t="str">
            <v>VIN A/T OIL &gt;ACM&lt; DATE</v>
          </cell>
          <cell r="E79">
            <v>9.3000000000000007</v>
          </cell>
          <cell r="F79">
            <v>17.2</v>
          </cell>
          <cell r="G79">
            <v>262</v>
          </cell>
          <cell r="H79" t="str">
            <v>242±2</v>
          </cell>
          <cell r="I79">
            <v>50</v>
          </cell>
        </row>
        <row r="80">
          <cell r="A80" t="str">
            <v>TA-2980</v>
          </cell>
          <cell r="B80" t="str">
            <v>HOSE, MOTOR COOLING, NO. 2</v>
          </cell>
          <cell r="C80" t="str">
            <v>TSM1659G-3</v>
          </cell>
          <cell r="D80" t="str">
            <v>VIN A/T OIL &gt;ACM&lt; DATE</v>
          </cell>
          <cell r="E80">
            <v>9.3000000000000007</v>
          </cell>
          <cell r="F80">
            <v>17.2</v>
          </cell>
          <cell r="G80">
            <v>294</v>
          </cell>
          <cell r="H80" t="str">
            <v>270±2</v>
          </cell>
          <cell r="I80">
            <v>50</v>
          </cell>
        </row>
        <row r="81">
          <cell r="A81" t="str">
            <v>HN-0150</v>
          </cell>
          <cell r="B81" t="str">
            <v>HOSE, VACUUM RSVR. TO BRAKE BOOSTER</v>
          </cell>
          <cell r="C81" t="str">
            <v>TSM1652G-6</v>
          </cell>
          <cell r="D81" t="str">
            <v>DOT VIN DATE 11/32 VL &gt;CR,NBR&lt;</v>
          </cell>
          <cell r="E81">
            <v>8.73</v>
          </cell>
          <cell r="F81">
            <v>17.46</v>
          </cell>
          <cell r="G81">
            <v>320</v>
          </cell>
          <cell r="H81" t="str">
            <v>0-0</v>
          </cell>
          <cell r="I81">
            <v>50</v>
          </cell>
        </row>
        <row r="82">
          <cell r="A82" t="str">
            <v>HN-0160</v>
          </cell>
          <cell r="B82" t="str">
            <v>HOSE, BRAKE BOOSTER</v>
          </cell>
          <cell r="C82" t="str">
            <v>TSM1652G-6</v>
          </cell>
          <cell r="D82" t="str">
            <v>DOT VIN DATE 11/32 VL &gt;CR,NBR&lt;</v>
          </cell>
          <cell r="E82">
            <v>8.73</v>
          </cell>
          <cell r="F82">
            <v>17.46</v>
          </cell>
          <cell r="G82">
            <v>400</v>
          </cell>
          <cell r="H82" t="str">
            <v>0-0</v>
          </cell>
          <cell r="I82">
            <v>50</v>
          </cell>
        </row>
        <row r="83">
          <cell r="A83" t="str">
            <v>HN-0170</v>
          </cell>
          <cell r="B83" t="str">
            <v>HOSE, VACUUM TUBE TO CONNECTOR TUBE</v>
          </cell>
          <cell r="C83" t="str">
            <v>TSM1652G-6</v>
          </cell>
          <cell r="D83" t="str">
            <v>DOT VIN DATE 11/32 VL &gt;CR,NBR&lt;</v>
          </cell>
          <cell r="E83">
            <v>8.73</v>
          </cell>
          <cell r="F83">
            <v>17.46</v>
          </cell>
          <cell r="G83">
            <v>259</v>
          </cell>
          <cell r="H83" t="str">
            <v>0-0</v>
          </cell>
          <cell r="I83">
            <v>50</v>
          </cell>
        </row>
        <row r="84">
          <cell r="A84" t="str">
            <v>HN-0240</v>
          </cell>
          <cell r="B84" t="str">
            <v>HOSE, SOLENOID TO RETARDER</v>
          </cell>
          <cell r="C84" t="str">
            <v>TSM1652G-6</v>
          </cell>
          <cell r="D84" t="str">
            <v>DOT VIN DATE 11/32 VL &gt;CR,NBR&lt;</v>
          </cell>
          <cell r="E84">
            <v>8.73</v>
          </cell>
          <cell r="F84">
            <v>17.46</v>
          </cell>
          <cell r="G84">
            <v>126</v>
          </cell>
          <cell r="H84" t="str">
            <v>0-0</v>
          </cell>
          <cell r="I84">
            <v>50</v>
          </cell>
        </row>
        <row r="85">
          <cell r="A85" t="str">
            <v>HN-0250</v>
          </cell>
          <cell r="B85" t="str">
            <v>HOSE, VACUUM TUBE TO CONNECTOR TUBE</v>
          </cell>
          <cell r="C85" t="str">
            <v>TSM1652G-7</v>
          </cell>
          <cell r="D85" t="str">
            <v>DOT VIN DATE 11/32VL &gt;GECO,NBR&lt;</v>
          </cell>
          <cell r="E85">
            <v>8.73</v>
          </cell>
          <cell r="F85">
            <v>17.46</v>
          </cell>
          <cell r="G85">
            <v>162</v>
          </cell>
          <cell r="H85" t="str">
            <v>0-0</v>
          </cell>
          <cell r="I85">
            <v>50</v>
          </cell>
        </row>
        <row r="86">
          <cell r="A86" t="str">
            <v>HN-0490</v>
          </cell>
          <cell r="B86" t="str">
            <v>HOSE, VACUUM RSVR. TO BRAKE BOOSTER</v>
          </cell>
          <cell r="C86" t="str">
            <v>TSM1652G-6</v>
          </cell>
          <cell r="D86" t="str">
            <v>DOT VIN DATE 11/32 VL &gt;CR,NBR&lt;</v>
          </cell>
          <cell r="E86">
            <v>8.73</v>
          </cell>
          <cell r="F86">
            <v>17.46</v>
          </cell>
          <cell r="G86">
            <v>315</v>
          </cell>
          <cell r="H86" t="str">
            <v>0-0</v>
          </cell>
          <cell r="I86">
            <v>50</v>
          </cell>
        </row>
        <row r="87">
          <cell r="A87" t="str">
            <v>HN-0530</v>
          </cell>
          <cell r="B87" t="str">
            <v>HOSE, VACUUM TUBE CONNECTOR</v>
          </cell>
          <cell r="C87" t="str">
            <v>TSM1652G-6</v>
          </cell>
          <cell r="D87" t="str">
            <v>DOT VIN DATE 11/32 VL &gt;CR,NBR&lt;</v>
          </cell>
          <cell r="E87">
            <v>8.73</v>
          </cell>
          <cell r="F87">
            <v>17.46</v>
          </cell>
          <cell r="G87">
            <v>430</v>
          </cell>
          <cell r="H87" t="str">
            <v>0-0</v>
          </cell>
          <cell r="I87">
            <v>50</v>
          </cell>
        </row>
        <row r="88">
          <cell r="A88" t="str">
            <v>HN-0540</v>
          </cell>
          <cell r="B88" t="str">
            <v>HOSE, VACUUM TUBE CONNECTOR</v>
          </cell>
          <cell r="C88" t="str">
            <v>TSM1652G-7</v>
          </cell>
          <cell r="D88" t="str">
            <v>DOT VIN DATE 11/32VL &gt;GECO,NBR&lt;</v>
          </cell>
          <cell r="E88">
            <v>8.73</v>
          </cell>
          <cell r="F88">
            <v>17.46</v>
          </cell>
          <cell r="G88">
            <v>245</v>
          </cell>
          <cell r="H88" t="str">
            <v>0-0</v>
          </cell>
          <cell r="I88">
            <v>50</v>
          </cell>
        </row>
        <row r="89">
          <cell r="A89" t="str">
            <v>HN-0550</v>
          </cell>
          <cell r="B89" t="str">
            <v>HOSE, UNION TO CHECK VALVE</v>
          </cell>
          <cell r="C89" t="str">
            <v>TSM1652G-7</v>
          </cell>
          <cell r="D89" t="str">
            <v>DOT VIN DATE 11/32VL &gt;GECO,NBR&lt;</v>
          </cell>
          <cell r="E89">
            <v>8.73</v>
          </cell>
          <cell r="F89">
            <v>17.46</v>
          </cell>
          <cell r="G89">
            <v>195</v>
          </cell>
          <cell r="H89" t="str">
            <v>0-0</v>
          </cell>
          <cell r="I89">
            <v>50</v>
          </cell>
        </row>
        <row r="90">
          <cell r="A90" t="str">
            <v>HN-0560</v>
          </cell>
          <cell r="B90" t="str">
            <v>HOSE, UNION TO CHECK VALVE</v>
          </cell>
          <cell r="C90" t="str">
            <v>TSM1652G-7</v>
          </cell>
          <cell r="D90" t="str">
            <v>DOT VIN DATE 11/32VL &gt;GECO,NBR&lt;</v>
          </cell>
          <cell r="E90">
            <v>8.73</v>
          </cell>
          <cell r="F90">
            <v>17.46</v>
          </cell>
          <cell r="G90">
            <v>135</v>
          </cell>
          <cell r="H90" t="str">
            <v>0-0</v>
          </cell>
          <cell r="I90">
            <v>50</v>
          </cell>
        </row>
        <row r="91">
          <cell r="A91" t="str">
            <v>HN-0590</v>
          </cell>
          <cell r="B91" t="str">
            <v>HOSE, VACUUM TUBE CONNECTOR</v>
          </cell>
          <cell r="C91" t="str">
            <v>TSM1652G-7</v>
          </cell>
          <cell r="D91" t="str">
            <v>DOT VIN DATE 11/32VL &gt;GECO,NBR&lt;</v>
          </cell>
          <cell r="E91">
            <v>8.73</v>
          </cell>
          <cell r="F91">
            <v>17.46</v>
          </cell>
          <cell r="G91">
            <v>418</v>
          </cell>
          <cell r="H91" t="str">
            <v>0-0</v>
          </cell>
          <cell r="I91">
            <v>50</v>
          </cell>
        </row>
        <row r="92">
          <cell r="A92" t="str">
            <v>PM-1090</v>
          </cell>
          <cell r="B92" t="str">
            <v>HOSE ASM;P/B BOOS VAC</v>
          </cell>
          <cell r="C92" t="str">
            <v>ISD-V01-006Y TYPE 1-A</v>
          </cell>
          <cell r="D92" t="str">
            <v>VIN DATE VL - 0081 08 300 0</v>
          </cell>
          <cell r="E92">
            <v>8.73</v>
          </cell>
          <cell r="F92">
            <v>17.46</v>
          </cell>
          <cell r="G92">
            <v>381</v>
          </cell>
          <cell r="H92" t="str">
            <v>0-0</v>
          </cell>
          <cell r="I92">
            <v>50</v>
          </cell>
        </row>
        <row r="93">
          <cell r="A93" t="str">
            <v>TA-0500</v>
          </cell>
          <cell r="B93" t="str">
            <v>HOSE, ASSY VACUUM</v>
          </cell>
          <cell r="C93" t="str">
            <v>TSM1652G-6</v>
          </cell>
          <cell r="D93" t="str">
            <v>DOT VIN DATE 11/32 VL &gt;CR,NBR&lt;</v>
          </cell>
          <cell r="E93">
            <v>8.73</v>
          </cell>
          <cell r="F93">
            <v>17.46</v>
          </cell>
          <cell r="G93">
            <v>402</v>
          </cell>
          <cell r="H93" t="str">
            <v>0-0</v>
          </cell>
          <cell r="I93">
            <v>50</v>
          </cell>
        </row>
        <row r="94">
          <cell r="A94" t="str">
            <v>TA-0801</v>
          </cell>
          <cell r="B94" t="str">
            <v>HOSE, VACUUM TUBE CONNECTOR</v>
          </cell>
          <cell r="C94" t="str">
            <v>TSM1652G-6</v>
          </cell>
          <cell r="D94" t="str">
            <v>DOT IP DATE 11/32 VL &gt;CR,NBR&lt;</v>
          </cell>
          <cell r="E94">
            <v>8.73</v>
          </cell>
          <cell r="F94">
            <v>17.46</v>
          </cell>
          <cell r="G94">
            <v>150</v>
          </cell>
          <cell r="H94" t="str">
            <v>0-0</v>
          </cell>
          <cell r="I94">
            <v>50</v>
          </cell>
        </row>
        <row r="95">
          <cell r="A95" t="str">
            <v>TA-0802</v>
          </cell>
          <cell r="B95" t="str">
            <v>HOSE, VACUUM TUBE CONNECTOR</v>
          </cell>
          <cell r="C95" t="str">
            <v>TSM1652G-6</v>
          </cell>
          <cell r="D95" t="str">
            <v>DOT IP DATE 11/32 VL &gt;CR,NBR&lt;</v>
          </cell>
          <cell r="E95">
            <v>8.73</v>
          </cell>
          <cell r="F95">
            <v>17.46</v>
          </cell>
          <cell r="G95">
            <v>135</v>
          </cell>
          <cell r="H95" t="str">
            <v>0-0</v>
          </cell>
          <cell r="I95">
            <v>50</v>
          </cell>
        </row>
        <row r="96">
          <cell r="A96" t="str">
            <v>TA-0803</v>
          </cell>
          <cell r="B96" t="str">
            <v>HOSE, CHECK VALVE TO CONNECTOR TUBE</v>
          </cell>
          <cell r="C96" t="str">
            <v>TSM1652G-6</v>
          </cell>
          <cell r="D96" t="str">
            <v>DOT IP DATE 11/32 VL &gt;CR,NBR&lt;</v>
          </cell>
          <cell r="E96">
            <v>8.73</v>
          </cell>
          <cell r="F96">
            <v>17.46</v>
          </cell>
          <cell r="G96">
            <v>147</v>
          </cell>
          <cell r="H96" t="str">
            <v>0-0</v>
          </cell>
          <cell r="I96">
            <v>50</v>
          </cell>
        </row>
        <row r="97">
          <cell r="A97" t="str">
            <v>TA-0812</v>
          </cell>
          <cell r="B97" t="str">
            <v>HOSE, CHECK VALVE TO CONNECTOR TUBE</v>
          </cell>
          <cell r="C97" t="str">
            <v>TSM1652G-6</v>
          </cell>
          <cell r="D97" t="str">
            <v>DOT IP DATE 11/32 VL &gt;CR,NBR&lt;</v>
          </cell>
          <cell r="E97">
            <v>8.73</v>
          </cell>
          <cell r="F97">
            <v>17.46</v>
          </cell>
          <cell r="G97">
            <v>146</v>
          </cell>
          <cell r="H97" t="str">
            <v>0-0</v>
          </cell>
          <cell r="I97">
            <v>50</v>
          </cell>
        </row>
        <row r="98">
          <cell r="A98" t="str">
            <v>TA-0813</v>
          </cell>
          <cell r="B98" t="str">
            <v>HOSE, CHECK VALVE TO CONNECTOR TUBE</v>
          </cell>
          <cell r="C98" t="str">
            <v>TSM1652G-6</v>
          </cell>
          <cell r="D98" t="str">
            <v>DOT IP DATE 11/32 VL &gt;CR,NBR&lt;</v>
          </cell>
          <cell r="E98">
            <v>8.73</v>
          </cell>
          <cell r="F98">
            <v>17.46</v>
          </cell>
          <cell r="G98">
            <v>253</v>
          </cell>
          <cell r="H98" t="str">
            <v>0-0</v>
          </cell>
          <cell r="I98">
            <v>50</v>
          </cell>
        </row>
        <row r="99">
          <cell r="A99" t="str">
            <v>TA-1070</v>
          </cell>
          <cell r="B99" t="str">
            <v>HOSE, CHECK VALVE TO CONNECTOR TUBE</v>
          </cell>
          <cell r="C99" t="str">
            <v>TSM1652G-6</v>
          </cell>
          <cell r="D99" t="str">
            <v>DOT IP DATE 11/32 VL &gt;CR,NBR&lt;</v>
          </cell>
          <cell r="E99">
            <v>8.73</v>
          </cell>
          <cell r="F99">
            <v>17.46</v>
          </cell>
          <cell r="G99">
            <v>243</v>
          </cell>
          <cell r="H99" t="str">
            <v>0-0</v>
          </cell>
          <cell r="I99">
            <v>50</v>
          </cell>
        </row>
        <row r="100">
          <cell r="A100" t="str">
            <v>TA-1130</v>
          </cell>
          <cell r="B100" t="str">
            <v>HOSE, UNION TO CONNECTOR TUBE</v>
          </cell>
          <cell r="C100" t="str">
            <v>TSM1652G-6</v>
          </cell>
          <cell r="D100" t="str">
            <v>DOT IP DATE 11/32 VL &gt;CR,NBR&lt;</v>
          </cell>
          <cell r="E100">
            <v>8.73</v>
          </cell>
          <cell r="F100">
            <v>17.46</v>
          </cell>
          <cell r="G100">
            <v>633</v>
          </cell>
          <cell r="H100" t="str">
            <v>0-0</v>
          </cell>
          <cell r="I100">
            <v>50</v>
          </cell>
        </row>
        <row r="101">
          <cell r="A101" t="str">
            <v>TA-1150</v>
          </cell>
          <cell r="B101" t="str">
            <v>HOSE, CHECK VALVE TO CONNECTOR TUBE</v>
          </cell>
          <cell r="C101" t="str">
            <v>TSM1652G-6</v>
          </cell>
          <cell r="D101" t="str">
            <v>DOT IP DATE 11/32 VL &gt;CR,NBR&lt;</v>
          </cell>
          <cell r="E101">
            <v>8.73</v>
          </cell>
          <cell r="F101">
            <v>17.46</v>
          </cell>
          <cell r="G101">
            <v>243</v>
          </cell>
          <cell r="H101" t="str">
            <v>0-0</v>
          </cell>
          <cell r="I101">
            <v>50</v>
          </cell>
        </row>
        <row r="102">
          <cell r="A102" t="str">
            <v>TA-1170</v>
          </cell>
          <cell r="B102" t="str">
            <v>HOSE, UNION TO CONNECTOR TUBE</v>
          </cell>
          <cell r="C102" t="str">
            <v>TSM1652G-6</v>
          </cell>
          <cell r="D102" t="str">
            <v>DOT IP DATE 11/32 VL &gt;CR,NBR&lt;</v>
          </cell>
          <cell r="E102">
            <v>8.73</v>
          </cell>
          <cell r="F102">
            <v>17.46</v>
          </cell>
          <cell r="G102">
            <v>279</v>
          </cell>
          <cell r="H102" t="str">
            <v>0-0</v>
          </cell>
          <cell r="I102">
            <v>50</v>
          </cell>
        </row>
        <row r="103">
          <cell r="A103" t="str">
            <v>TA-1190</v>
          </cell>
          <cell r="B103" t="str">
            <v>HOSE, CHECK VALVE TO CONNECTOR TUBE</v>
          </cell>
          <cell r="C103" t="str">
            <v>TSM1652G-6</v>
          </cell>
          <cell r="D103" t="str">
            <v>DOT IP DATE 11/32 VL &gt;CR,NBR&lt;</v>
          </cell>
          <cell r="E103">
            <v>8.73</v>
          </cell>
          <cell r="F103">
            <v>17.46</v>
          </cell>
          <cell r="G103">
            <v>157</v>
          </cell>
          <cell r="H103" t="str">
            <v>0-0</v>
          </cell>
          <cell r="I103">
            <v>50</v>
          </cell>
        </row>
        <row r="104">
          <cell r="A104" t="str">
            <v>TA-1240</v>
          </cell>
          <cell r="B104" t="str">
            <v>HOSE, CHECK VALVE TO CONNECTOR TUBE</v>
          </cell>
          <cell r="C104" t="str">
            <v>TSM1652G-6</v>
          </cell>
          <cell r="D104" t="str">
            <v>DOT IP DATE 11/32 VL &gt;CR,NBR&lt;</v>
          </cell>
          <cell r="E104">
            <v>8.73</v>
          </cell>
          <cell r="F104">
            <v>17.46</v>
          </cell>
          <cell r="G104">
            <v>168</v>
          </cell>
          <cell r="H104" t="str">
            <v>0-0</v>
          </cell>
          <cell r="I104">
            <v>50</v>
          </cell>
        </row>
        <row r="105">
          <cell r="A105" t="str">
            <v>TA-1250</v>
          </cell>
          <cell r="B105" t="str">
            <v>HOSE, CHECK VALVE TO CONNECTOR TUBE</v>
          </cell>
          <cell r="C105" t="str">
            <v>TSM1652G-6</v>
          </cell>
          <cell r="D105" t="str">
            <v>DOT IP DATE 11/32 VL &gt;CR,NBR&lt;</v>
          </cell>
          <cell r="E105">
            <v>8.73</v>
          </cell>
          <cell r="F105">
            <v>17.46</v>
          </cell>
          <cell r="G105">
            <v>173</v>
          </cell>
          <cell r="H105" t="str">
            <v>0-0</v>
          </cell>
          <cell r="I105">
            <v>50</v>
          </cell>
        </row>
        <row r="106">
          <cell r="A106" t="str">
            <v>TA-1410</v>
          </cell>
          <cell r="B106" t="str">
            <v>HOSE, UNION TO CONNECTOR TUBE</v>
          </cell>
          <cell r="C106" t="str">
            <v>TSM1652G-6</v>
          </cell>
          <cell r="D106" t="str">
            <v>DOT IP DATE 11/32 VL &gt;CR,NBR&lt;</v>
          </cell>
          <cell r="E106">
            <v>8.73</v>
          </cell>
          <cell r="F106">
            <v>17.46</v>
          </cell>
          <cell r="G106">
            <v>332</v>
          </cell>
          <cell r="H106" t="str">
            <v>0-0</v>
          </cell>
          <cell r="I106">
            <v>50</v>
          </cell>
        </row>
        <row r="107">
          <cell r="A107" t="str">
            <v>TA-1541</v>
          </cell>
          <cell r="B107" t="str">
            <v>HOSE, UNION TUBE CONNECTOR</v>
          </cell>
          <cell r="C107" t="str">
            <v>TSM1652G-7</v>
          </cell>
          <cell r="D107" t="str">
            <v>DOT IP DATE 11/32VL &gt;GECO,NBR&lt;</v>
          </cell>
          <cell r="E107">
            <v>8.73</v>
          </cell>
          <cell r="F107">
            <v>17.46</v>
          </cell>
          <cell r="G107">
            <v>359</v>
          </cell>
          <cell r="H107" t="str">
            <v>0-0</v>
          </cell>
          <cell r="I107">
            <v>50</v>
          </cell>
        </row>
        <row r="108">
          <cell r="A108" t="str">
            <v>TA-1542</v>
          </cell>
          <cell r="B108" t="str">
            <v>HOSE, UNION TUBE CONNECTOR</v>
          </cell>
          <cell r="C108" t="str">
            <v>TSM1652G-7</v>
          </cell>
          <cell r="D108" t="str">
            <v>DOT IP DATE 11/32VL &gt;GECO,NBR&lt;</v>
          </cell>
          <cell r="E108">
            <v>8.73</v>
          </cell>
          <cell r="F108">
            <v>17.46</v>
          </cell>
          <cell r="G108">
            <v>172</v>
          </cell>
          <cell r="H108" t="str">
            <v>0-0</v>
          </cell>
          <cell r="I108">
            <v>50</v>
          </cell>
        </row>
        <row r="109">
          <cell r="A109" t="str">
            <v>TA-1552</v>
          </cell>
          <cell r="B109" t="str">
            <v>HOSE, CHECK VALVE TO BRAKE BOOSTER</v>
          </cell>
          <cell r="C109" t="str">
            <v>TSM1652G-6</v>
          </cell>
          <cell r="D109" t="str">
            <v>DOT IP DATE 11/32 VL &gt;CR,NBR&lt;</v>
          </cell>
          <cell r="E109">
            <v>8.73</v>
          </cell>
          <cell r="F109">
            <v>17.46</v>
          </cell>
          <cell r="G109">
            <v>168</v>
          </cell>
          <cell r="H109" t="str">
            <v>0-0</v>
          </cell>
          <cell r="I109">
            <v>50</v>
          </cell>
        </row>
        <row r="110">
          <cell r="A110" t="str">
            <v>TA-1553</v>
          </cell>
          <cell r="B110" t="str">
            <v>HOSE, CHECK VALVE TO CONNECTOR TUBE</v>
          </cell>
          <cell r="C110" t="str">
            <v>TSM1652G-6</v>
          </cell>
          <cell r="D110" t="str">
            <v>DOT IP DATE 11/32 VL &gt;CR,NBR&lt;</v>
          </cell>
          <cell r="E110">
            <v>8.73</v>
          </cell>
          <cell r="F110">
            <v>17.46</v>
          </cell>
          <cell r="G110">
            <v>255</v>
          </cell>
          <cell r="H110" t="str">
            <v>0-0</v>
          </cell>
          <cell r="I110">
            <v>50</v>
          </cell>
        </row>
        <row r="111">
          <cell r="A111" t="str">
            <v>TA-1554</v>
          </cell>
          <cell r="B111" t="str">
            <v>HOSE, CHECK VALVE TO CONNECTOR TUBE</v>
          </cell>
          <cell r="C111" t="str">
            <v>TSM1652G-6</v>
          </cell>
          <cell r="D111" t="str">
            <v>DOT IP DATE 11/32 VL &gt;CR,NBR&lt;</v>
          </cell>
          <cell r="E111">
            <v>8.73</v>
          </cell>
          <cell r="F111">
            <v>17.46</v>
          </cell>
          <cell r="G111">
            <v>257</v>
          </cell>
          <cell r="H111" t="str">
            <v>0-0</v>
          </cell>
          <cell r="I111">
            <v>50</v>
          </cell>
        </row>
        <row r="112">
          <cell r="A112" t="str">
            <v>TA-1562</v>
          </cell>
          <cell r="B112" t="str">
            <v>HOSE, VACUUM TO CONNECTOR TUBE</v>
          </cell>
          <cell r="C112" t="str">
            <v>TSM1652G-6</v>
          </cell>
          <cell r="D112" t="str">
            <v>DOT IP DATE 11/32 VL &gt;CR,NBR&lt;</v>
          </cell>
          <cell r="E112">
            <v>8.73</v>
          </cell>
          <cell r="F112">
            <v>17.46</v>
          </cell>
          <cell r="G112">
            <v>178</v>
          </cell>
          <cell r="H112" t="str">
            <v>0-0</v>
          </cell>
          <cell r="I112">
            <v>50</v>
          </cell>
        </row>
        <row r="113">
          <cell r="A113" t="str">
            <v>TA-1563</v>
          </cell>
          <cell r="B113" t="str">
            <v>HOSE, CHECK VALVE TO CONNECTOR TUBE</v>
          </cell>
          <cell r="C113" t="str">
            <v>TSM1652G-6</v>
          </cell>
          <cell r="D113" t="str">
            <v>DOT IP DATE 11/32 VL &gt;CR,NBR&lt;</v>
          </cell>
          <cell r="E113">
            <v>8.73</v>
          </cell>
          <cell r="F113">
            <v>17.46</v>
          </cell>
          <cell r="G113">
            <v>255</v>
          </cell>
          <cell r="H113" t="str">
            <v>0-0</v>
          </cell>
          <cell r="I113">
            <v>50</v>
          </cell>
        </row>
        <row r="114">
          <cell r="A114" t="str">
            <v>TA-1564</v>
          </cell>
          <cell r="B114" t="str">
            <v>HOSE, CHECK VALVE TO CONNECTOR TUBE</v>
          </cell>
          <cell r="C114" t="str">
            <v>TSM1652G-6</v>
          </cell>
          <cell r="D114" t="str">
            <v>DOT IP DATE 11/32 VL &gt;CR,NBR&lt;</v>
          </cell>
          <cell r="E114">
            <v>8.73</v>
          </cell>
          <cell r="F114">
            <v>17.46</v>
          </cell>
          <cell r="G114">
            <v>257</v>
          </cell>
          <cell r="H114" t="str">
            <v>0-0</v>
          </cell>
          <cell r="I114">
            <v>50</v>
          </cell>
        </row>
        <row r="115">
          <cell r="A115" t="str">
            <v>TA-1571</v>
          </cell>
          <cell r="B115" t="str">
            <v>HOSE, UNION TO CONNECTOR TUBE</v>
          </cell>
          <cell r="C115" t="str">
            <v>TSM1652G-7</v>
          </cell>
          <cell r="D115" t="str">
            <v>DOT IP DATE 11/32VL &gt;GECO,NBR&lt;</v>
          </cell>
          <cell r="E115">
            <v>8.73</v>
          </cell>
          <cell r="F115">
            <v>17.46</v>
          </cell>
          <cell r="G115">
            <v>319</v>
          </cell>
          <cell r="H115" t="str">
            <v>0-0</v>
          </cell>
          <cell r="I115">
            <v>50</v>
          </cell>
        </row>
        <row r="116">
          <cell r="A116" t="str">
            <v>TA-1572</v>
          </cell>
          <cell r="B116" t="str">
            <v>HOSE, UNION TUBE CONNECTOR</v>
          </cell>
          <cell r="C116" t="str">
            <v>TSM1652G-7</v>
          </cell>
          <cell r="D116" t="str">
            <v>DOT IP DATE 11/32VL &gt;GECO,NBR&lt;</v>
          </cell>
          <cell r="E116">
            <v>8.73</v>
          </cell>
          <cell r="F116">
            <v>17.46</v>
          </cell>
          <cell r="G116">
            <v>172</v>
          </cell>
          <cell r="H116" t="str">
            <v>0-0</v>
          </cell>
          <cell r="I116">
            <v>50</v>
          </cell>
        </row>
        <row r="117">
          <cell r="A117" t="str">
            <v>TA-1581</v>
          </cell>
          <cell r="B117" t="str">
            <v>HOSE, UNION TO CONNECTOR TUBE</v>
          </cell>
          <cell r="C117" t="str">
            <v>TSM1652G-7</v>
          </cell>
          <cell r="D117" t="str">
            <v>DOT IP DATE 11/32VL &gt;GECO,NBR&lt;</v>
          </cell>
          <cell r="E117">
            <v>8.73</v>
          </cell>
          <cell r="F117">
            <v>17.46</v>
          </cell>
          <cell r="G117">
            <v>306</v>
          </cell>
          <cell r="H117" t="str">
            <v>0-0</v>
          </cell>
          <cell r="I117">
            <v>50</v>
          </cell>
        </row>
        <row r="118">
          <cell r="A118" t="str">
            <v>TA-1582</v>
          </cell>
          <cell r="B118" t="str">
            <v>HOSE, UNION TUBE CONNECTOR</v>
          </cell>
          <cell r="C118" t="str">
            <v>TSM1652G-7</v>
          </cell>
          <cell r="D118" t="str">
            <v>DOT IP DATE 11/32VL &gt;GECO,NBR&lt;</v>
          </cell>
          <cell r="E118">
            <v>8.73</v>
          </cell>
          <cell r="F118">
            <v>17.46</v>
          </cell>
          <cell r="G118">
            <v>172</v>
          </cell>
          <cell r="H118" t="str">
            <v>0-0</v>
          </cell>
          <cell r="I118">
            <v>50</v>
          </cell>
        </row>
        <row r="119">
          <cell r="A119" t="str">
            <v>TA-1600</v>
          </cell>
          <cell r="B119" t="str">
            <v>HOSE, CHECK VALVE TO CONNECTOR TUBE</v>
          </cell>
          <cell r="C119" t="str">
            <v>TSM1652G-7</v>
          </cell>
          <cell r="D119" t="str">
            <v>DOT IP DATE 11/32VL &gt;GECO,NBR&lt;</v>
          </cell>
          <cell r="E119">
            <v>8.73</v>
          </cell>
          <cell r="F119">
            <v>17.46</v>
          </cell>
          <cell r="G119">
            <v>330</v>
          </cell>
          <cell r="H119" t="str">
            <v>0-0</v>
          </cell>
          <cell r="I119">
            <v>50</v>
          </cell>
        </row>
        <row r="120">
          <cell r="A120" t="str">
            <v>TA-1610</v>
          </cell>
          <cell r="B120" t="str">
            <v>HOSE, CHECK VALVE TO BRAKE BOOSTER</v>
          </cell>
          <cell r="C120" t="str">
            <v>TSM1652G-6</v>
          </cell>
          <cell r="D120" t="str">
            <v>DOT IP DATE 11/32 VL &gt;CR,NBR&lt;</v>
          </cell>
          <cell r="E120">
            <v>8.73</v>
          </cell>
          <cell r="F120">
            <v>17.46</v>
          </cell>
          <cell r="G120">
            <v>198</v>
          </cell>
          <cell r="H120" t="str">
            <v>0-0</v>
          </cell>
          <cell r="I120">
            <v>50</v>
          </cell>
        </row>
        <row r="121">
          <cell r="A121" t="str">
            <v>TA-1620</v>
          </cell>
          <cell r="B121" t="str">
            <v>HOSE, UNION TO CHECK VALVE</v>
          </cell>
          <cell r="C121" t="str">
            <v>TSM1652G-6</v>
          </cell>
          <cell r="D121" t="str">
            <v>DOT IP DATE 11/32 VL &gt;CR,NBR&lt;</v>
          </cell>
          <cell r="E121">
            <v>8.73</v>
          </cell>
          <cell r="F121">
            <v>17.46</v>
          </cell>
          <cell r="G121">
            <v>458</v>
          </cell>
          <cell r="H121" t="str">
            <v>0-0</v>
          </cell>
          <cell r="I121">
            <v>50</v>
          </cell>
        </row>
        <row r="122">
          <cell r="A122" t="str">
            <v>TA-1630</v>
          </cell>
          <cell r="B122" t="str">
            <v>HOSE, UNION TO CONNECTOR TUBE</v>
          </cell>
          <cell r="C122" t="str">
            <v>TSM1652G-6</v>
          </cell>
          <cell r="D122" t="str">
            <v>DOT IP DATE 11/32 VL &gt;CR,NBR&lt;</v>
          </cell>
          <cell r="E122">
            <v>8.73</v>
          </cell>
          <cell r="F122">
            <v>17.46</v>
          </cell>
          <cell r="G122">
            <v>229</v>
          </cell>
          <cell r="H122" t="str">
            <v>0-0</v>
          </cell>
          <cell r="I122">
            <v>50</v>
          </cell>
        </row>
        <row r="123">
          <cell r="A123" t="str">
            <v>TA-1640</v>
          </cell>
          <cell r="B123" t="str">
            <v>HOSE, UNION TO CONNECTOR TUBE</v>
          </cell>
          <cell r="C123" t="str">
            <v>TSM1652G-6</v>
          </cell>
          <cell r="D123" t="str">
            <v>DOT IP DATE 11/32 VL &gt;CR,NBR&lt;</v>
          </cell>
          <cell r="E123">
            <v>8.73</v>
          </cell>
          <cell r="F123">
            <v>17.46</v>
          </cell>
          <cell r="G123">
            <v>504</v>
          </cell>
          <cell r="H123" t="str">
            <v>0-0</v>
          </cell>
          <cell r="I123">
            <v>50</v>
          </cell>
        </row>
        <row r="124">
          <cell r="A124" t="str">
            <v>TA-1650</v>
          </cell>
          <cell r="B124" t="str">
            <v>HOSE, BRAKE BOOSTER</v>
          </cell>
          <cell r="C124" t="str">
            <v>TSM1652G-6</v>
          </cell>
          <cell r="D124" t="str">
            <v>DOT IP DATE 11/32 VL &gt;CR,NBR&lt;</v>
          </cell>
          <cell r="E124">
            <v>8.73</v>
          </cell>
          <cell r="F124">
            <v>17.46</v>
          </cell>
          <cell r="G124">
            <v>269</v>
          </cell>
          <cell r="H124" t="str">
            <v>0-0</v>
          </cell>
          <cell r="I124">
            <v>50</v>
          </cell>
        </row>
        <row r="125">
          <cell r="A125" t="str">
            <v>TA-2001</v>
          </cell>
          <cell r="B125" t="str">
            <v>HOSE, CHECK VALVE TO CONNECTOR TUBE</v>
          </cell>
          <cell r="C125" t="str">
            <v>TSM1652G-6</v>
          </cell>
          <cell r="D125" t="str">
            <v>DOT IP DATE 11/32 VL &gt;CR,NBR&lt;</v>
          </cell>
          <cell r="E125">
            <v>8.73</v>
          </cell>
          <cell r="F125">
            <v>17.46</v>
          </cell>
          <cell r="G125">
            <v>136</v>
          </cell>
          <cell r="H125" t="str">
            <v>0-0</v>
          </cell>
          <cell r="I125">
            <v>50</v>
          </cell>
        </row>
        <row r="126">
          <cell r="A126" t="str">
            <v>TA-2002</v>
          </cell>
          <cell r="B126" t="str">
            <v>HOSE, CHECK VALVE TO CONNECTOR TUBE</v>
          </cell>
          <cell r="C126" t="str">
            <v>TSM1652G-6</v>
          </cell>
          <cell r="D126" t="str">
            <v>DOT IP DATE 11/32 VL &gt;CR,NBR&lt;</v>
          </cell>
          <cell r="E126">
            <v>8.73</v>
          </cell>
          <cell r="F126">
            <v>17.46</v>
          </cell>
          <cell r="G126">
            <v>136</v>
          </cell>
          <cell r="H126" t="str">
            <v>0-0</v>
          </cell>
          <cell r="I126">
            <v>50</v>
          </cell>
        </row>
        <row r="127">
          <cell r="A127" t="str">
            <v>TA-2003</v>
          </cell>
          <cell r="B127" t="str">
            <v>HOSE, VACUUM TUBE CONNECTOR</v>
          </cell>
          <cell r="C127" t="str">
            <v>TSM1652G-6</v>
          </cell>
          <cell r="D127" t="str">
            <v>DOT IP DATE 11/32 VL &gt;CR,NBR&lt;</v>
          </cell>
          <cell r="E127">
            <v>8.73</v>
          </cell>
          <cell r="F127">
            <v>17.46</v>
          </cell>
          <cell r="G127">
            <v>174</v>
          </cell>
          <cell r="H127" t="str">
            <v>0-0</v>
          </cell>
          <cell r="I127">
            <v>50</v>
          </cell>
        </row>
        <row r="128">
          <cell r="A128" t="str">
            <v>TA-2004</v>
          </cell>
          <cell r="B128" t="str">
            <v>HOSE, VACUUM TUBE CONNECTOR</v>
          </cell>
          <cell r="C128" t="str">
            <v>TSM1652G-6</v>
          </cell>
          <cell r="D128" t="str">
            <v>DOT IP DATE 11/32 VL &gt;CR,NBR&lt;</v>
          </cell>
          <cell r="E128">
            <v>8.73</v>
          </cell>
          <cell r="F128">
            <v>17.46</v>
          </cell>
          <cell r="G128">
            <v>208</v>
          </cell>
          <cell r="H128" t="str">
            <v>0-0</v>
          </cell>
          <cell r="I128">
            <v>50</v>
          </cell>
        </row>
        <row r="129">
          <cell r="A129" t="str">
            <v>TA-2010</v>
          </cell>
          <cell r="B129" t="str">
            <v>HOSE, CHECK VALVE TO CONNECTOR TUBE</v>
          </cell>
          <cell r="C129" t="str">
            <v>TSM1652G-6</v>
          </cell>
          <cell r="D129" t="str">
            <v>DOT IP DATE 11/32 VL &gt;CR,NBR&lt;</v>
          </cell>
          <cell r="E129">
            <v>8.73</v>
          </cell>
          <cell r="F129">
            <v>17.46</v>
          </cell>
          <cell r="G129">
            <v>130</v>
          </cell>
          <cell r="H129" t="str">
            <v>0-0</v>
          </cell>
          <cell r="I129">
            <v>50</v>
          </cell>
        </row>
        <row r="130">
          <cell r="A130" t="str">
            <v>TA-2020</v>
          </cell>
          <cell r="B130" t="str">
            <v>HOSE, UNION TO CONNECTOR TUBE</v>
          </cell>
          <cell r="C130" t="str">
            <v>TSM1652G-6</v>
          </cell>
          <cell r="D130" t="str">
            <v>DOT IP DATE 11/32 VL &gt;CR,NBR&lt;</v>
          </cell>
          <cell r="E130">
            <v>8.73</v>
          </cell>
          <cell r="F130">
            <v>17.46</v>
          </cell>
          <cell r="G130">
            <v>286</v>
          </cell>
          <cell r="H130" t="str">
            <v>0-0</v>
          </cell>
          <cell r="I130">
            <v>50</v>
          </cell>
        </row>
        <row r="131">
          <cell r="A131" t="str">
            <v>TA-2030</v>
          </cell>
          <cell r="B131" t="str">
            <v>HOSE, UNION TO CONNECTOR TUBE</v>
          </cell>
          <cell r="C131" t="str">
            <v>TSM1652G-6</v>
          </cell>
          <cell r="D131" t="str">
            <v>DOT IP DATE 11/32 VL &gt;CR,NBR&lt;</v>
          </cell>
          <cell r="E131">
            <v>8.73</v>
          </cell>
          <cell r="F131">
            <v>17.46</v>
          </cell>
          <cell r="G131">
            <v>350</v>
          </cell>
          <cell r="H131" t="str">
            <v>0-0</v>
          </cell>
          <cell r="I131">
            <v>50</v>
          </cell>
        </row>
        <row r="132">
          <cell r="A132" t="str">
            <v>TA-2721</v>
          </cell>
          <cell r="B132" t="str">
            <v>HOSE, CHECK VALVE TO CONNECTOR TUBE</v>
          </cell>
          <cell r="C132" t="str">
            <v>TSM1652G-6</v>
          </cell>
          <cell r="D132" t="str">
            <v>DOT IP DATE 11/32 VL &gt;CR,NBR&lt;</v>
          </cell>
          <cell r="E132">
            <v>8.73</v>
          </cell>
          <cell r="F132">
            <v>17.46</v>
          </cell>
          <cell r="G132">
            <v>165</v>
          </cell>
          <cell r="H132" t="str">
            <v>0-0</v>
          </cell>
          <cell r="I132">
            <v>50</v>
          </cell>
        </row>
        <row r="133">
          <cell r="A133" t="str">
            <v>TA-2722</v>
          </cell>
          <cell r="B133" t="str">
            <v>HOSE, UNION TO CONNECTOR TUBE</v>
          </cell>
          <cell r="C133" t="str">
            <v>TSM1652G-6</v>
          </cell>
          <cell r="D133" t="str">
            <v>DOT IP DATE 11/32 VL &gt;CR,NBR&lt;</v>
          </cell>
          <cell r="E133">
            <v>8.73</v>
          </cell>
          <cell r="F133">
            <v>17.46</v>
          </cell>
          <cell r="G133">
            <v>405</v>
          </cell>
          <cell r="H133" t="str">
            <v>0-0</v>
          </cell>
          <cell r="I133">
            <v>50</v>
          </cell>
        </row>
        <row r="134">
          <cell r="A134" t="str">
            <v>TA-2730</v>
          </cell>
          <cell r="B134" t="str">
            <v>HOSE, UNION TO CONNECTOR TUBE</v>
          </cell>
          <cell r="C134" t="str">
            <v>TSM1652G-6</v>
          </cell>
          <cell r="D134" t="str">
            <v>DOT IP DATE 11/32 VL &gt;CR,NBR&lt;</v>
          </cell>
          <cell r="E134">
            <v>8.73</v>
          </cell>
          <cell r="F134">
            <v>17.46</v>
          </cell>
          <cell r="G134">
            <v>530</v>
          </cell>
          <cell r="H134" t="str">
            <v>0-0</v>
          </cell>
          <cell r="I134">
            <v>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6CF2-CE08-43F4-9A37-81B09A114088}">
  <dimension ref="A1:D367"/>
  <sheetViews>
    <sheetView tabSelected="1" workbookViewId="0">
      <selection activeCell="F12" sqref="F12"/>
    </sheetView>
  </sheetViews>
  <sheetFormatPr defaultRowHeight="14.4" x14ac:dyDescent="0.3"/>
  <cols>
    <col min="2" max="2" width="14.6640625" bestFit="1" customWidth="1"/>
    <col min="3" max="3" width="17" bestFit="1" customWidth="1"/>
  </cols>
  <sheetData>
    <row r="1" spans="1:4" ht="14.4" customHeight="1" x14ac:dyDescent="0.3">
      <c r="A1" s="11" t="s">
        <v>0</v>
      </c>
      <c r="B1" s="1" t="s">
        <v>350</v>
      </c>
      <c r="C1" s="1" t="s">
        <v>351</v>
      </c>
      <c r="D1" s="12" t="s">
        <v>465</v>
      </c>
    </row>
    <row r="2" spans="1:4" ht="14.4" customHeight="1" x14ac:dyDescent="0.3">
      <c r="A2" s="1"/>
      <c r="B2" s="1"/>
      <c r="C2" s="1"/>
      <c r="D2" s="1"/>
    </row>
    <row r="3" spans="1:4" ht="15.6" x14ac:dyDescent="0.3">
      <c r="A3" s="2"/>
      <c r="B3" s="2" t="s">
        <v>352</v>
      </c>
      <c r="C3" s="2" t="s">
        <v>352</v>
      </c>
      <c r="D3" s="2"/>
    </row>
    <row r="4" spans="1:4" ht="15.6" x14ac:dyDescent="0.3">
      <c r="A4" s="3" t="s">
        <v>1</v>
      </c>
      <c r="B4" s="7" t="s">
        <v>353</v>
      </c>
      <c r="C4" s="7">
        <v>0</v>
      </c>
      <c r="D4" s="13" t="s">
        <v>466</v>
      </c>
    </row>
    <row r="5" spans="1:4" ht="15.6" x14ac:dyDescent="0.3">
      <c r="A5" s="4" t="s">
        <v>2</v>
      </c>
      <c r="B5" s="7" t="e">
        <f>#N/A</f>
        <v>#N/A</v>
      </c>
      <c r="C5" s="7" t="e">
        <f>#N/A</f>
        <v>#N/A</v>
      </c>
      <c r="D5" s="13" t="e">
        <f>#N/A</f>
        <v>#N/A</v>
      </c>
    </row>
    <row r="6" spans="1:4" ht="15.6" x14ac:dyDescent="0.3">
      <c r="A6" s="4" t="s">
        <v>3</v>
      </c>
      <c r="B6" s="7" t="s">
        <v>354</v>
      </c>
      <c r="C6" s="7">
        <v>0</v>
      </c>
      <c r="D6" s="13" t="s">
        <v>466</v>
      </c>
    </row>
    <row r="7" spans="1:4" ht="15.6" x14ac:dyDescent="0.3">
      <c r="A7" s="4" t="s">
        <v>4</v>
      </c>
      <c r="B7" s="7" t="s">
        <v>355</v>
      </c>
      <c r="C7" s="7">
        <v>0</v>
      </c>
      <c r="D7" s="13" t="s">
        <v>466</v>
      </c>
    </row>
    <row r="8" spans="1:4" ht="15.6" x14ac:dyDescent="0.3">
      <c r="A8" s="4" t="s">
        <v>5</v>
      </c>
      <c r="B8" s="7" t="s">
        <v>356</v>
      </c>
      <c r="C8" s="7">
        <v>0</v>
      </c>
      <c r="D8" s="13" t="s">
        <v>466</v>
      </c>
    </row>
    <row r="9" spans="1:4" ht="15.6" x14ac:dyDescent="0.3">
      <c r="A9" s="4" t="s">
        <v>6</v>
      </c>
      <c r="B9" s="7" t="s">
        <v>357</v>
      </c>
      <c r="C9" s="7">
        <v>0</v>
      </c>
      <c r="D9" s="13" t="s">
        <v>466</v>
      </c>
    </row>
    <row r="10" spans="1:4" ht="15.6" x14ac:dyDescent="0.3">
      <c r="A10" s="4" t="s">
        <v>7</v>
      </c>
      <c r="B10" s="7" t="s">
        <v>358</v>
      </c>
      <c r="C10" s="7">
        <v>0</v>
      </c>
      <c r="D10" s="13" t="s">
        <v>466</v>
      </c>
    </row>
    <row r="11" spans="1:4" ht="15.6" x14ac:dyDescent="0.3">
      <c r="A11" s="4" t="s">
        <v>8</v>
      </c>
      <c r="B11" s="7" t="s">
        <v>359</v>
      </c>
      <c r="C11" s="7">
        <v>0</v>
      </c>
      <c r="D11" s="13" t="s">
        <v>466</v>
      </c>
    </row>
    <row r="12" spans="1:4" ht="15.6" x14ac:dyDescent="0.3">
      <c r="A12" s="4" t="s">
        <v>9</v>
      </c>
      <c r="B12" s="7" t="s">
        <v>360</v>
      </c>
      <c r="C12" s="7">
        <v>0</v>
      </c>
      <c r="D12" s="13" t="s">
        <v>466</v>
      </c>
    </row>
    <row r="13" spans="1:4" ht="15.6" x14ac:dyDescent="0.3">
      <c r="A13" s="4" t="s">
        <v>10</v>
      </c>
      <c r="B13" s="7" t="s">
        <v>361</v>
      </c>
      <c r="C13" s="7">
        <v>0</v>
      </c>
      <c r="D13" s="13" t="e">
        <f>#N/A</f>
        <v>#N/A</v>
      </c>
    </row>
    <row r="14" spans="1:4" ht="15.6" x14ac:dyDescent="0.3">
      <c r="A14" s="4" t="s">
        <v>11</v>
      </c>
      <c r="B14" s="7" t="s">
        <v>362</v>
      </c>
      <c r="C14" s="7">
        <v>0</v>
      </c>
      <c r="D14" s="13" t="e">
        <f>#N/A</f>
        <v>#N/A</v>
      </c>
    </row>
    <row r="15" spans="1:4" ht="15.6" x14ac:dyDescent="0.3">
      <c r="A15" s="4" t="s">
        <v>12</v>
      </c>
      <c r="B15" s="7" t="s">
        <v>363</v>
      </c>
      <c r="C15" s="7">
        <v>0</v>
      </c>
      <c r="D15" s="13" t="e">
        <f>#N/A</f>
        <v>#N/A</v>
      </c>
    </row>
    <row r="16" spans="1:4" ht="15.6" x14ac:dyDescent="0.3">
      <c r="A16" s="4" t="s">
        <v>13</v>
      </c>
      <c r="B16" s="7" t="s">
        <v>364</v>
      </c>
      <c r="C16" s="7">
        <v>0</v>
      </c>
      <c r="D16" s="13" t="s">
        <v>466</v>
      </c>
    </row>
    <row r="17" spans="1:4" ht="15.6" x14ac:dyDescent="0.3">
      <c r="A17" s="4" t="s">
        <v>14</v>
      </c>
      <c r="B17" s="7" t="s">
        <v>365</v>
      </c>
      <c r="C17" s="7" t="s">
        <v>366</v>
      </c>
      <c r="D17" s="13" t="s">
        <v>466</v>
      </c>
    </row>
    <row r="18" spans="1:4" ht="15.6" x14ac:dyDescent="0.3">
      <c r="A18" s="4" t="s">
        <v>15</v>
      </c>
      <c r="B18" s="7" t="s">
        <v>367</v>
      </c>
      <c r="C18" s="7" t="s">
        <v>368</v>
      </c>
      <c r="D18" s="13" t="s">
        <v>466</v>
      </c>
    </row>
    <row r="19" spans="1:4" ht="15.6" x14ac:dyDescent="0.3">
      <c r="A19" s="4" t="s">
        <v>16</v>
      </c>
      <c r="B19" s="7" t="s">
        <v>369</v>
      </c>
      <c r="C19" s="7">
        <v>0</v>
      </c>
      <c r="D19" s="13" t="s">
        <v>466</v>
      </c>
    </row>
    <row r="20" spans="1:4" ht="15.6" x14ac:dyDescent="0.3">
      <c r="A20" s="4" t="s">
        <v>17</v>
      </c>
      <c r="B20" s="7" t="s">
        <v>370</v>
      </c>
      <c r="C20" s="7" t="s">
        <v>371</v>
      </c>
      <c r="D20" s="13" t="s">
        <v>466</v>
      </c>
    </row>
    <row r="21" spans="1:4" ht="15.6" x14ac:dyDescent="0.3">
      <c r="A21" s="4" t="s">
        <v>18</v>
      </c>
      <c r="B21" s="7" t="s">
        <v>372</v>
      </c>
      <c r="C21" s="7" t="s">
        <v>373</v>
      </c>
      <c r="D21" s="13" t="s">
        <v>466</v>
      </c>
    </row>
    <row r="22" spans="1:4" ht="15.6" x14ac:dyDescent="0.3">
      <c r="A22" s="4" t="s">
        <v>19</v>
      </c>
      <c r="B22" s="7" t="s">
        <v>374</v>
      </c>
      <c r="C22" s="7" t="s">
        <v>375</v>
      </c>
      <c r="D22" s="13" t="s">
        <v>466</v>
      </c>
    </row>
    <row r="23" spans="1:4" ht="15.6" x14ac:dyDescent="0.3">
      <c r="A23" s="4" t="s">
        <v>20</v>
      </c>
      <c r="B23" s="7" t="s">
        <v>376</v>
      </c>
      <c r="C23" s="7" t="s">
        <v>377</v>
      </c>
      <c r="D23" s="13" t="s">
        <v>466</v>
      </c>
    </row>
    <row r="24" spans="1:4" ht="15.6" x14ac:dyDescent="0.3">
      <c r="A24" s="4" t="s">
        <v>21</v>
      </c>
      <c r="B24" s="7" t="s">
        <v>378</v>
      </c>
      <c r="C24" s="7" t="s">
        <v>371</v>
      </c>
      <c r="D24" s="13" t="s">
        <v>466</v>
      </c>
    </row>
    <row r="25" spans="1:4" ht="15.6" x14ac:dyDescent="0.3">
      <c r="A25" s="4" t="s">
        <v>22</v>
      </c>
      <c r="B25" s="7" t="s">
        <v>379</v>
      </c>
      <c r="C25" s="7" t="s">
        <v>380</v>
      </c>
      <c r="D25" s="13" t="s">
        <v>466</v>
      </c>
    </row>
    <row r="26" spans="1:4" ht="15.6" x14ac:dyDescent="0.3">
      <c r="A26" s="4" t="s">
        <v>23</v>
      </c>
      <c r="B26" s="7" t="s">
        <v>381</v>
      </c>
      <c r="C26" s="7" t="s">
        <v>382</v>
      </c>
      <c r="D26" s="13" t="s">
        <v>466</v>
      </c>
    </row>
    <row r="27" spans="1:4" ht="15.6" x14ac:dyDescent="0.3">
      <c r="A27" s="4" t="s">
        <v>24</v>
      </c>
      <c r="B27" s="7" t="s">
        <v>383</v>
      </c>
      <c r="C27" s="7" t="s">
        <v>384</v>
      </c>
      <c r="D27" s="13" t="s">
        <v>466</v>
      </c>
    </row>
    <row r="28" spans="1:4" ht="15.6" x14ac:dyDescent="0.3">
      <c r="A28" s="4" t="s">
        <v>25</v>
      </c>
      <c r="B28" s="7" t="s">
        <v>385</v>
      </c>
      <c r="C28" s="7">
        <v>0</v>
      </c>
      <c r="D28" s="13" t="e">
        <f>#N/A</f>
        <v>#N/A</v>
      </c>
    </row>
    <row r="29" spans="1:4" ht="15.6" x14ac:dyDescent="0.3">
      <c r="A29" s="4" t="s">
        <v>26</v>
      </c>
      <c r="B29" s="7" t="s">
        <v>386</v>
      </c>
      <c r="C29" s="7">
        <v>0</v>
      </c>
      <c r="D29" s="13" t="e">
        <f>#N/A</f>
        <v>#N/A</v>
      </c>
    </row>
    <row r="30" spans="1:4" ht="15.6" x14ac:dyDescent="0.3">
      <c r="A30" s="4" t="s">
        <v>27</v>
      </c>
      <c r="B30" s="7" t="s">
        <v>387</v>
      </c>
      <c r="C30" s="7">
        <v>0</v>
      </c>
      <c r="D30" s="13" t="s">
        <v>466</v>
      </c>
    </row>
    <row r="31" spans="1:4" ht="15.6" x14ac:dyDescent="0.3">
      <c r="A31" s="4" t="s">
        <v>28</v>
      </c>
      <c r="B31" s="7" t="s">
        <v>388</v>
      </c>
      <c r="C31" s="7" t="s">
        <v>389</v>
      </c>
      <c r="D31" s="13" t="s">
        <v>466</v>
      </c>
    </row>
    <row r="32" spans="1:4" ht="15.6" x14ac:dyDescent="0.3">
      <c r="A32" s="4" t="s">
        <v>29</v>
      </c>
      <c r="B32" s="7" t="s">
        <v>390</v>
      </c>
      <c r="C32" s="7" t="s">
        <v>391</v>
      </c>
      <c r="D32" s="13" t="e">
        <f>#N/A</f>
        <v>#N/A</v>
      </c>
    </row>
    <row r="33" spans="1:4" ht="15.6" x14ac:dyDescent="0.3">
      <c r="A33" s="4" t="s">
        <v>30</v>
      </c>
      <c r="B33" s="7" t="s">
        <v>392</v>
      </c>
      <c r="C33" s="7" t="s">
        <v>393</v>
      </c>
      <c r="D33" s="13" t="s">
        <v>466</v>
      </c>
    </row>
    <row r="34" spans="1:4" ht="15.6" x14ac:dyDescent="0.3">
      <c r="A34" s="4" t="s">
        <v>31</v>
      </c>
      <c r="B34" s="7" t="s">
        <v>394</v>
      </c>
      <c r="C34" s="7">
        <v>0</v>
      </c>
      <c r="D34" s="13" t="s">
        <v>466</v>
      </c>
    </row>
    <row r="35" spans="1:4" ht="15.6" x14ac:dyDescent="0.3">
      <c r="A35" s="4" t="s">
        <v>32</v>
      </c>
      <c r="B35" s="7" t="s">
        <v>395</v>
      </c>
      <c r="C35" s="7" t="s">
        <v>396</v>
      </c>
      <c r="D35" s="13" t="s">
        <v>466</v>
      </c>
    </row>
    <row r="36" spans="1:4" ht="15.6" x14ac:dyDescent="0.3">
      <c r="A36" s="4" t="s">
        <v>33</v>
      </c>
      <c r="B36" s="7" t="s">
        <v>397</v>
      </c>
      <c r="C36" s="7">
        <v>0</v>
      </c>
      <c r="D36" s="13" t="s">
        <v>466</v>
      </c>
    </row>
    <row r="37" spans="1:4" ht="15.6" x14ac:dyDescent="0.3">
      <c r="A37" s="4" t="s">
        <v>34</v>
      </c>
      <c r="B37" s="7" t="s">
        <v>354</v>
      </c>
      <c r="C37" s="7">
        <v>0</v>
      </c>
      <c r="D37" s="13" t="s">
        <v>466</v>
      </c>
    </row>
    <row r="38" spans="1:4" ht="15.6" x14ac:dyDescent="0.3">
      <c r="A38" s="4" t="s">
        <v>35</v>
      </c>
      <c r="B38" s="7" t="s">
        <v>398</v>
      </c>
      <c r="C38" s="7">
        <v>0</v>
      </c>
      <c r="D38" s="13" t="s">
        <v>466</v>
      </c>
    </row>
    <row r="39" spans="1:4" ht="15.6" x14ac:dyDescent="0.3">
      <c r="A39" s="4" t="s">
        <v>36</v>
      </c>
      <c r="B39" s="7" t="s">
        <v>399</v>
      </c>
      <c r="C39" s="7" t="s">
        <v>400</v>
      </c>
      <c r="D39" s="13" t="s">
        <v>466</v>
      </c>
    </row>
    <row r="40" spans="1:4" ht="15.6" x14ac:dyDescent="0.3">
      <c r="A40" s="4" t="s">
        <v>37</v>
      </c>
      <c r="B40" s="7" t="s">
        <v>401</v>
      </c>
      <c r="C40" s="7" t="s">
        <v>402</v>
      </c>
      <c r="D40" s="13" t="s">
        <v>466</v>
      </c>
    </row>
    <row r="41" spans="1:4" ht="15.6" x14ac:dyDescent="0.3">
      <c r="A41" s="4" t="s">
        <v>38</v>
      </c>
      <c r="B41" s="7" t="s">
        <v>395</v>
      </c>
      <c r="C41" s="7" t="s">
        <v>403</v>
      </c>
      <c r="D41" s="13" t="s">
        <v>466</v>
      </c>
    </row>
    <row r="42" spans="1:4" ht="15.6" x14ac:dyDescent="0.3">
      <c r="A42" s="4" t="s">
        <v>39</v>
      </c>
      <c r="B42" s="7" t="s">
        <v>404</v>
      </c>
      <c r="C42" s="7" t="s">
        <v>405</v>
      </c>
      <c r="D42" s="13" t="s">
        <v>466</v>
      </c>
    </row>
    <row r="43" spans="1:4" ht="15.6" x14ac:dyDescent="0.3">
      <c r="A43" s="4" t="s">
        <v>40</v>
      </c>
      <c r="B43" s="7" t="s">
        <v>406</v>
      </c>
      <c r="C43" s="7" t="s">
        <v>407</v>
      </c>
      <c r="D43" s="13" t="s">
        <v>466</v>
      </c>
    </row>
    <row r="44" spans="1:4" ht="15.6" x14ac:dyDescent="0.3">
      <c r="A44" s="4" t="s">
        <v>41</v>
      </c>
      <c r="B44" s="7" t="s">
        <v>408</v>
      </c>
      <c r="C44" s="7">
        <v>0</v>
      </c>
      <c r="D44" s="13" t="s">
        <v>466</v>
      </c>
    </row>
    <row r="45" spans="1:4" ht="15.6" x14ac:dyDescent="0.3">
      <c r="A45" s="4" t="s">
        <v>42</v>
      </c>
      <c r="B45" s="7" t="s">
        <v>409</v>
      </c>
      <c r="C45" s="7">
        <v>0</v>
      </c>
      <c r="D45" s="13" t="s">
        <v>466</v>
      </c>
    </row>
    <row r="46" spans="1:4" ht="15.6" x14ac:dyDescent="0.3">
      <c r="A46" s="4" t="s">
        <v>43</v>
      </c>
      <c r="B46" s="7" t="e">
        <f>#N/A</f>
        <v>#N/A</v>
      </c>
      <c r="C46" s="7" t="e">
        <f>#N/A</f>
        <v>#N/A</v>
      </c>
      <c r="D46" s="13" t="e">
        <f>#N/A</f>
        <v>#N/A</v>
      </c>
    </row>
    <row r="47" spans="1:4" ht="15.6" x14ac:dyDescent="0.3">
      <c r="A47" s="4" t="s">
        <v>44</v>
      </c>
      <c r="B47" s="7" t="s">
        <v>410</v>
      </c>
      <c r="C47" s="7" t="s">
        <v>411</v>
      </c>
      <c r="D47" s="13" t="s">
        <v>467</v>
      </c>
    </row>
    <row r="48" spans="1:4" ht="15.6" x14ac:dyDescent="0.3">
      <c r="A48" s="4" t="s">
        <v>45</v>
      </c>
      <c r="B48" s="7" t="s">
        <v>412</v>
      </c>
      <c r="C48" s="7">
        <v>0</v>
      </c>
      <c r="D48" s="13" t="s">
        <v>467</v>
      </c>
    </row>
    <row r="49" spans="1:4" ht="15.6" x14ac:dyDescent="0.3">
      <c r="A49" s="4" t="s">
        <v>46</v>
      </c>
      <c r="B49" s="7" t="e">
        <f>#N/A</f>
        <v>#N/A</v>
      </c>
      <c r="C49" s="7" t="e">
        <f>#N/A</f>
        <v>#N/A</v>
      </c>
      <c r="D49" s="13" t="e">
        <f>#N/A</f>
        <v>#N/A</v>
      </c>
    </row>
    <row r="50" spans="1:4" ht="15.6" x14ac:dyDescent="0.3">
      <c r="A50" s="4" t="s">
        <v>47</v>
      </c>
      <c r="B50" s="7" t="e">
        <f>#N/A</f>
        <v>#N/A</v>
      </c>
      <c r="C50" s="7" t="e">
        <f>#N/A</f>
        <v>#N/A</v>
      </c>
      <c r="D50" s="13" t="e">
        <f>#N/A</f>
        <v>#N/A</v>
      </c>
    </row>
    <row r="51" spans="1:4" ht="15.6" x14ac:dyDescent="0.3">
      <c r="A51" s="4" t="s">
        <v>48</v>
      </c>
      <c r="B51" s="7" t="s">
        <v>413</v>
      </c>
      <c r="C51" s="7">
        <v>0</v>
      </c>
      <c r="D51" s="13" t="e">
        <f>#N/A</f>
        <v>#N/A</v>
      </c>
    </row>
    <row r="52" spans="1:4" ht="15.6" x14ac:dyDescent="0.3">
      <c r="A52" s="4" t="s">
        <v>49</v>
      </c>
      <c r="B52" s="7" t="s">
        <v>414</v>
      </c>
      <c r="C52" s="7">
        <v>0</v>
      </c>
      <c r="D52" s="13" t="e">
        <f>#N/A</f>
        <v>#N/A</v>
      </c>
    </row>
    <row r="53" spans="1:4" ht="15.6" x14ac:dyDescent="0.3">
      <c r="A53" s="4" t="s">
        <v>50</v>
      </c>
      <c r="B53" s="7" t="s">
        <v>415</v>
      </c>
      <c r="C53" s="7">
        <v>0</v>
      </c>
      <c r="D53" s="13" t="e">
        <f>#N/A</f>
        <v>#N/A</v>
      </c>
    </row>
    <row r="54" spans="1:4" ht="15.6" x14ac:dyDescent="0.3">
      <c r="A54" s="4" t="s">
        <v>51</v>
      </c>
      <c r="B54" s="7" t="s">
        <v>416</v>
      </c>
      <c r="C54" s="7">
        <v>0</v>
      </c>
      <c r="D54" s="13" t="s">
        <v>466</v>
      </c>
    </row>
    <row r="55" spans="1:4" ht="15.6" x14ac:dyDescent="0.3">
      <c r="A55" s="4" t="s">
        <v>52</v>
      </c>
      <c r="B55" s="7" t="s">
        <v>417</v>
      </c>
      <c r="C55" s="7">
        <v>0</v>
      </c>
      <c r="D55" s="13" t="s">
        <v>466</v>
      </c>
    </row>
    <row r="56" spans="1:4" ht="15.6" x14ac:dyDescent="0.3">
      <c r="A56" s="4" t="s">
        <v>53</v>
      </c>
      <c r="B56" s="7" t="s">
        <v>361</v>
      </c>
      <c r="C56" s="7">
        <v>0</v>
      </c>
      <c r="D56" s="13" t="s">
        <v>466</v>
      </c>
    </row>
    <row r="57" spans="1:4" ht="15.6" x14ac:dyDescent="0.3">
      <c r="A57" s="4" t="s">
        <v>54</v>
      </c>
      <c r="B57" s="7" t="s">
        <v>418</v>
      </c>
      <c r="C57" s="7">
        <v>0</v>
      </c>
      <c r="D57" s="13" t="s">
        <v>466</v>
      </c>
    </row>
    <row r="58" spans="1:4" ht="15.6" x14ac:dyDescent="0.3">
      <c r="A58" s="4" t="s">
        <v>32</v>
      </c>
      <c r="B58" s="7" t="s">
        <v>395</v>
      </c>
      <c r="C58" s="7" t="s">
        <v>396</v>
      </c>
      <c r="D58" s="13" t="s">
        <v>466</v>
      </c>
    </row>
    <row r="59" spans="1:4" ht="15.6" x14ac:dyDescent="0.3">
      <c r="A59" s="4" t="s">
        <v>33</v>
      </c>
      <c r="B59" s="7" t="s">
        <v>397</v>
      </c>
      <c r="C59" s="7">
        <v>0</v>
      </c>
      <c r="D59" s="13" t="s">
        <v>466</v>
      </c>
    </row>
    <row r="60" spans="1:4" ht="15.6" x14ac:dyDescent="0.3">
      <c r="A60" s="4" t="s">
        <v>34</v>
      </c>
      <c r="B60" s="7" t="s">
        <v>354</v>
      </c>
      <c r="C60" s="7">
        <v>0</v>
      </c>
      <c r="D60" s="13" t="s">
        <v>466</v>
      </c>
    </row>
    <row r="61" spans="1:4" ht="15.6" x14ac:dyDescent="0.3">
      <c r="A61" s="4" t="s">
        <v>35</v>
      </c>
      <c r="B61" s="7" t="s">
        <v>398</v>
      </c>
      <c r="C61" s="7">
        <v>0</v>
      </c>
      <c r="D61" s="13" t="s">
        <v>466</v>
      </c>
    </row>
    <row r="62" spans="1:4" ht="15.6" x14ac:dyDescent="0.3">
      <c r="A62" s="4" t="s">
        <v>55</v>
      </c>
      <c r="B62" s="7" t="s">
        <v>419</v>
      </c>
      <c r="C62" s="7">
        <v>0</v>
      </c>
      <c r="D62" s="13" t="s">
        <v>466</v>
      </c>
    </row>
    <row r="63" spans="1:4" ht="15.6" x14ac:dyDescent="0.3">
      <c r="A63" s="4" t="s">
        <v>56</v>
      </c>
      <c r="B63" s="7">
        <v>18000</v>
      </c>
      <c r="C63" s="7">
        <v>0</v>
      </c>
      <c r="D63" s="13" t="s">
        <v>466</v>
      </c>
    </row>
    <row r="64" spans="1:4" ht="15.6" x14ac:dyDescent="0.3">
      <c r="A64" s="4" t="s">
        <v>57</v>
      </c>
      <c r="B64" s="7" t="e">
        <f>#N/A</f>
        <v>#N/A</v>
      </c>
      <c r="C64" s="7" t="e">
        <f>#N/A</f>
        <v>#N/A</v>
      </c>
      <c r="D64" s="13" t="e">
        <f>#N/A</f>
        <v>#N/A</v>
      </c>
    </row>
    <row r="65" spans="1:4" ht="15.6" x14ac:dyDescent="0.3">
      <c r="A65" s="4" t="s">
        <v>58</v>
      </c>
      <c r="B65" s="7" t="s">
        <v>420</v>
      </c>
      <c r="C65" s="7">
        <v>0</v>
      </c>
      <c r="D65" s="13" t="s">
        <v>466</v>
      </c>
    </row>
    <row r="66" spans="1:4" ht="15.6" x14ac:dyDescent="0.3">
      <c r="A66" s="4" t="s">
        <v>59</v>
      </c>
      <c r="B66" s="7" t="s">
        <v>392</v>
      </c>
      <c r="C66" s="7">
        <v>0</v>
      </c>
      <c r="D66" s="13" t="s">
        <v>466</v>
      </c>
    </row>
    <row r="67" spans="1:4" ht="15.6" x14ac:dyDescent="0.3">
      <c r="A67" s="4" t="s">
        <v>60</v>
      </c>
      <c r="B67" s="7" t="s">
        <v>421</v>
      </c>
      <c r="C67" s="7" t="s">
        <v>422</v>
      </c>
      <c r="D67" s="13" t="s">
        <v>467</v>
      </c>
    </row>
    <row r="68" spans="1:4" ht="15.6" x14ac:dyDescent="0.3">
      <c r="A68" s="4" t="s">
        <v>61</v>
      </c>
      <c r="B68" s="7" t="s">
        <v>423</v>
      </c>
      <c r="C68" s="7" t="s">
        <v>424</v>
      </c>
      <c r="D68" s="13" t="s">
        <v>467</v>
      </c>
    </row>
    <row r="69" spans="1:4" ht="15.6" x14ac:dyDescent="0.3">
      <c r="A69" s="4" t="s">
        <v>62</v>
      </c>
      <c r="B69" s="7" t="s">
        <v>410</v>
      </c>
      <c r="C69" s="7" t="s">
        <v>391</v>
      </c>
      <c r="D69" s="13" t="s">
        <v>467</v>
      </c>
    </row>
    <row r="70" spans="1:4" ht="15.6" x14ac:dyDescent="0.3">
      <c r="A70" s="4" t="s">
        <v>63</v>
      </c>
      <c r="B70" s="7" t="s">
        <v>421</v>
      </c>
      <c r="C70" s="7" t="s">
        <v>422</v>
      </c>
      <c r="D70" s="13" t="s">
        <v>468</v>
      </c>
    </row>
    <row r="71" spans="1:4" ht="15.6" x14ac:dyDescent="0.3">
      <c r="A71" s="4" t="s">
        <v>64</v>
      </c>
      <c r="B71" s="7" t="e">
        <f>#N/A</f>
        <v>#N/A</v>
      </c>
      <c r="C71" s="7" t="e">
        <f>#N/A</f>
        <v>#N/A</v>
      </c>
      <c r="D71" s="13" t="e">
        <f>#N/A</f>
        <v>#N/A</v>
      </c>
    </row>
    <row r="72" spans="1:4" ht="15.6" x14ac:dyDescent="0.3">
      <c r="A72" s="4" t="s">
        <v>65</v>
      </c>
      <c r="B72" s="7" t="s">
        <v>425</v>
      </c>
      <c r="C72" s="7">
        <v>0</v>
      </c>
      <c r="D72" s="13" t="e">
        <f>#N/A</f>
        <v>#N/A</v>
      </c>
    </row>
    <row r="73" spans="1:4" ht="15.6" x14ac:dyDescent="0.3">
      <c r="A73" s="4" t="s">
        <v>66</v>
      </c>
      <c r="B73" s="7" t="s">
        <v>426</v>
      </c>
      <c r="C73" s="7">
        <v>0</v>
      </c>
      <c r="D73" s="13" t="e">
        <f>#N/A</f>
        <v>#N/A</v>
      </c>
    </row>
    <row r="74" spans="1:4" ht="15.6" x14ac:dyDescent="0.3">
      <c r="A74" s="4" t="s">
        <v>67</v>
      </c>
      <c r="B74" s="7" t="s">
        <v>427</v>
      </c>
      <c r="C74" s="7">
        <v>0</v>
      </c>
      <c r="D74" s="13" t="e">
        <f>#N/A</f>
        <v>#N/A</v>
      </c>
    </row>
    <row r="75" spans="1:4" ht="15.6" x14ac:dyDescent="0.3">
      <c r="A75" s="4" t="s">
        <v>68</v>
      </c>
      <c r="B75" s="7" t="s">
        <v>428</v>
      </c>
      <c r="C75" s="7">
        <v>0</v>
      </c>
      <c r="D75" s="13" t="e">
        <f>#N/A</f>
        <v>#N/A</v>
      </c>
    </row>
    <row r="76" spans="1:4" ht="15.6" x14ac:dyDescent="0.3">
      <c r="A76" s="4" t="s">
        <v>69</v>
      </c>
      <c r="B76" s="7" t="s">
        <v>429</v>
      </c>
      <c r="C76" s="7">
        <v>0</v>
      </c>
      <c r="D76" s="13" t="e">
        <f>#N/A</f>
        <v>#N/A</v>
      </c>
    </row>
    <row r="77" spans="1:4" ht="15.6" x14ac:dyDescent="0.3">
      <c r="A77" s="4" t="s">
        <v>70</v>
      </c>
      <c r="B77" s="7" t="s">
        <v>430</v>
      </c>
      <c r="C77" s="7" t="s">
        <v>431</v>
      </c>
      <c r="D77" s="13" t="s">
        <v>466</v>
      </c>
    </row>
    <row r="78" spans="1:4" ht="15.6" x14ac:dyDescent="0.3">
      <c r="A78" s="4" t="s">
        <v>71</v>
      </c>
      <c r="B78" s="7" t="s">
        <v>372</v>
      </c>
      <c r="C78" s="7">
        <v>0</v>
      </c>
      <c r="D78" s="13" t="s">
        <v>469</v>
      </c>
    </row>
    <row r="79" spans="1:4" ht="15.6" x14ac:dyDescent="0.3">
      <c r="A79" s="4" t="s">
        <v>72</v>
      </c>
      <c r="B79" s="7" t="s">
        <v>423</v>
      </c>
      <c r="C79" s="7">
        <v>0</v>
      </c>
      <c r="D79" s="13" t="s">
        <v>469</v>
      </c>
    </row>
    <row r="80" spans="1:4" ht="15.6" x14ac:dyDescent="0.3">
      <c r="A80" s="4" t="s">
        <v>73</v>
      </c>
      <c r="B80" s="7" t="s">
        <v>432</v>
      </c>
      <c r="C80" s="7" t="s">
        <v>433</v>
      </c>
      <c r="D80" s="13" t="s">
        <v>467</v>
      </c>
    </row>
    <row r="81" spans="1:4" ht="15.6" x14ac:dyDescent="0.3">
      <c r="A81" s="4" t="s">
        <v>74</v>
      </c>
      <c r="B81" s="7" t="s">
        <v>434</v>
      </c>
      <c r="C81" s="7" t="s">
        <v>435</v>
      </c>
      <c r="D81" s="13" t="s">
        <v>467</v>
      </c>
    </row>
    <row r="82" spans="1:4" ht="15.6" x14ac:dyDescent="0.3">
      <c r="A82" s="4" t="s">
        <v>75</v>
      </c>
      <c r="B82" s="7" t="s">
        <v>436</v>
      </c>
      <c r="C82" s="7">
        <v>0</v>
      </c>
      <c r="D82" s="13" t="s">
        <v>467</v>
      </c>
    </row>
    <row r="83" spans="1:4" ht="15.6" x14ac:dyDescent="0.3">
      <c r="A83" s="4" t="s">
        <v>76</v>
      </c>
      <c r="B83" s="7" t="s">
        <v>437</v>
      </c>
      <c r="C83" s="7">
        <v>0</v>
      </c>
      <c r="D83" s="13" t="s">
        <v>467</v>
      </c>
    </row>
    <row r="84" spans="1:4" ht="15.6" x14ac:dyDescent="0.3">
      <c r="A84" s="4" t="s">
        <v>77</v>
      </c>
      <c r="B84" s="7" t="s">
        <v>386</v>
      </c>
      <c r="C84" s="7" t="s">
        <v>402</v>
      </c>
      <c r="D84" s="13" t="s">
        <v>467</v>
      </c>
    </row>
    <row r="85" spans="1:4" ht="15.6" x14ac:dyDescent="0.3">
      <c r="A85" s="4" t="s">
        <v>78</v>
      </c>
      <c r="B85" s="7" t="s">
        <v>438</v>
      </c>
      <c r="C85" s="7" t="s">
        <v>439</v>
      </c>
      <c r="D85" s="13" t="s">
        <v>467</v>
      </c>
    </row>
    <row r="86" spans="1:4" ht="15.6" x14ac:dyDescent="0.3">
      <c r="A86" s="4" t="s">
        <v>79</v>
      </c>
      <c r="B86" s="7" t="s">
        <v>440</v>
      </c>
      <c r="C86" s="7" t="s">
        <v>441</v>
      </c>
      <c r="D86" s="13" t="s">
        <v>467</v>
      </c>
    </row>
    <row r="87" spans="1:4" ht="15.6" x14ac:dyDescent="0.3">
      <c r="A87" s="4" t="s">
        <v>80</v>
      </c>
      <c r="B87" s="7" t="s">
        <v>442</v>
      </c>
      <c r="C87" s="7" t="s">
        <v>443</v>
      </c>
      <c r="D87" s="13" t="s">
        <v>467</v>
      </c>
    </row>
    <row r="88" spans="1:4" ht="15.6" x14ac:dyDescent="0.3">
      <c r="A88" s="4" t="s">
        <v>81</v>
      </c>
      <c r="B88" s="7" t="s">
        <v>442</v>
      </c>
      <c r="C88" s="7">
        <v>0</v>
      </c>
      <c r="D88" s="13" t="s">
        <v>467</v>
      </c>
    </row>
    <row r="89" spans="1:4" ht="15.6" x14ac:dyDescent="0.3">
      <c r="A89" s="5" t="s">
        <v>82</v>
      </c>
      <c r="B89" s="7" t="s">
        <v>444</v>
      </c>
      <c r="C89" s="7" t="s">
        <v>445</v>
      </c>
      <c r="D89" s="13" t="s">
        <v>467</v>
      </c>
    </row>
    <row r="90" spans="1:4" ht="15.6" x14ac:dyDescent="0.3">
      <c r="A90" s="4" t="s">
        <v>83</v>
      </c>
      <c r="B90" s="7" t="s">
        <v>406</v>
      </c>
      <c r="C90" s="7">
        <v>0</v>
      </c>
      <c r="D90" s="13" t="s">
        <v>469</v>
      </c>
    </row>
    <row r="91" spans="1:4" ht="15.6" x14ac:dyDescent="0.3">
      <c r="A91" s="6" t="s">
        <v>84</v>
      </c>
      <c r="B91" s="7" t="s">
        <v>446</v>
      </c>
      <c r="C91" s="7">
        <v>0</v>
      </c>
      <c r="D91" s="13" t="s">
        <v>470</v>
      </c>
    </row>
    <row r="92" spans="1:4" ht="15.6" x14ac:dyDescent="0.3">
      <c r="A92" s="4" t="s">
        <v>85</v>
      </c>
      <c r="B92" s="7" t="s">
        <v>447</v>
      </c>
      <c r="C92" s="7" t="s">
        <v>448</v>
      </c>
      <c r="D92" s="13" t="s">
        <v>467</v>
      </c>
    </row>
    <row r="93" spans="1:4" ht="15.6" x14ac:dyDescent="0.3">
      <c r="A93" s="4" t="s">
        <v>86</v>
      </c>
      <c r="B93" s="7" t="s">
        <v>449</v>
      </c>
      <c r="C93" s="7">
        <v>0</v>
      </c>
      <c r="D93" s="13" t="s">
        <v>467</v>
      </c>
    </row>
    <row r="94" spans="1:4" ht="15.6" x14ac:dyDescent="0.3">
      <c r="A94" s="4" t="s">
        <v>87</v>
      </c>
      <c r="B94" s="7" t="s">
        <v>450</v>
      </c>
      <c r="C94" s="7">
        <v>0</v>
      </c>
      <c r="D94" s="13" t="s">
        <v>467</v>
      </c>
    </row>
    <row r="95" spans="1:4" ht="15.6" x14ac:dyDescent="0.3">
      <c r="A95" s="4" t="s">
        <v>88</v>
      </c>
      <c r="B95" s="7" t="s">
        <v>369</v>
      </c>
      <c r="C95" s="7">
        <v>0</v>
      </c>
      <c r="D95" s="13" t="s">
        <v>467</v>
      </c>
    </row>
    <row r="96" spans="1:4" ht="15.6" x14ac:dyDescent="0.3">
      <c r="A96" s="4" t="s">
        <v>89</v>
      </c>
      <c r="B96" s="7" t="s">
        <v>451</v>
      </c>
      <c r="C96" s="7">
        <v>0</v>
      </c>
      <c r="D96" s="13" t="s">
        <v>466</v>
      </c>
    </row>
    <row r="97" spans="1:4" ht="15.6" x14ac:dyDescent="0.3">
      <c r="A97" s="4" t="s">
        <v>90</v>
      </c>
      <c r="B97" s="7" t="s">
        <v>452</v>
      </c>
      <c r="C97" s="7" t="s">
        <v>453</v>
      </c>
      <c r="D97" s="13" t="s">
        <v>466</v>
      </c>
    </row>
    <row r="98" spans="1:4" ht="15.6" x14ac:dyDescent="0.3">
      <c r="A98" s="4" t="s">
        <v>91</v>
      </c>
      <c r="B98" s="7" t="s">
        <v>454</v>
      </c>
      <c r="C98" s="7" t="s">
        <v>455</v>
      </c>
      <c r="D98" s="13" t="s">
        <v>466</v>
      </c>
    </row>
    <row r="99" spans="1:4" ht="15.6" x14ac:dyDescent="0.3">
      <c r="A99" s="4" t="s">
        <v>92</v>
      </c>
      <c r="B99" s="7" t="s">
        <v>456</v>
      </c>
      <c r="C99" s="7" t="s">
        <v>457</v>
      </c>
      <c r="D99" s="13" t="s">
        <v>466</v>
      </c>
    </row>
    <row r="100" spans="1:4" ht="15.6" x14ac:dyDescent="0.3">
      <c r="A100" s="4" t="s">
        <v>93</v>
      </c>
      <c r="B100" s="7" t="s">
        <v>458</v>
      </c>
      <c r="C100" s="7">
        <v>0</v>
      </c>
      <c r="D100" s="13" t="s">
        <v>467</v>
      </c>
    </row>
    <row r="101" spans="1:4" ht="15.6" x14ac:dyDescent="0.3">
      <c r="A101" s="4" t="s">
        <v>94</v>
      </c>
      <c r="B101" s="7" t="s">
        <v>438</v>
      </c>
      <c r="C101" s="7">
        <v>0</v>
      </c>
      <c r="D101" s="13" t="s">
        <v>466</v>
      </c>
    </row>
    <row r="102" spans="1:4" ht="15.6" x14ac:dyDescent="0.3">
      <c r="A102" s="4" t="s">
        <v>95</v>
      </c>
      <c r="B102" s="7" t="s">
        <v>381</v>
      </c>
      <c r="C102" s="7">
        <v>0</v>
      </c>
      <c r="D102" s="13" t="s">
        <v>466</v>
      </c>
    </row>
    <row r="103" spans="1:4" ht="15.6" x14ac:dyDescent="0.3">
      <c r="A103" s="4" t="s">
        <v>96</v>
      </c>
      <c r="B103" s="7" t="s">
        <v>459</v>
      </c>
      <c r="C103" s="7">
        <v>0</v>
      </c>
      <c r="D103" s="13" t="s">
        <v>466</v>
      </c>
    </row>
    <row r="104" spans="1:4" ht="15.6" x14ac:dyDescent="0.3">
      <c r="A104" s="4" t="s">
        <v>97</v>
      </c>
      <c r="B104" s="7" t="s">
        <v>460</v>
      </c>
      <c r="C104" s="7" t="s">
        <v>461</v>
      </c>
      <c r="D104" s="13" t="s">
        <v>466</v>
      </c>
    </row>
    <row r="105" spans="1:4" ht="15.6" x14ac:dyDescent="0.3">
      <c r="A105" s="4" t="s">
        <v>98</v>
      </c>
      <c r="B105" s="7" t="s">
        <v>462</v>
      </c>
      <c r="C105" s="7">
        <v>0</v>
      </c>
      <c r="D105" s="13" t="s">
        <v>466</v>
      </c>
    </row>
    <row r="106" spans="1:4" ht="15.6" x14ac:dyDescent="0.3">
      <c r="A106" s="4" t="s">
        <v>99</v>
      </c>
      <c r="B106" s="7" t="s">
        <v>463</v>
      </c>
      <c r="C106" s="7">
        <v>0</v>
      </c>
      <c r="D106" s="13" t="s">
        <v>466</v>
      </c>
    </row>
    <row r="107" spans="1:4" ht="15.6" x14ac:dyDescent="0.3">
      <c r="A107" s="4" t="s">
        <v>100</v>
      </c>
      <c r="B107" s="7" t="s">
        <v>369</v>
      </c>
      <c r="C107" s="7" t="s">
        <v>464</v>
      </c>
      <c r="D107" s="13" t="s">
        <v>467</v>
      </c>
    </row>
    <row r="108" spans="1:4" ht="15.6" x14ac:dyDescent="0.3">
      <c r="A108" s="7"/>
      <c r="B108" s="7"/>
      <c r="C108" s="7"/>
      <c r="D108" s="14"/>
    </row>
    <row r="109" spans="1:4" ht="15.6" x14ac:dyDescent="0.3">
      <c r="A109" s="6" t="s">
        <v>101</v>
      </c>
      <c r="B109" s="7" t="e">
        <f>VLOOKUP(#REF!,[1]Sheet2!$A$1:$J$125,7,TRUE)</f>
        <v>#REF!</v>
      </c>
      <c r="C109" s="7" t="e">
        <f>VLOOKUP(#REF!,[1]Sheet2!$A$1:$J$125,8,TRUE)</f>
        <v>#REF!</v>
      </c>
      <c r="D109" s="14" t="s">
        <v>470</v>
      </c>
    </row>
    <row r="110" spans="1:4" ht="15.6" x14ac:dyDescent="0.3">
      <c r="A110" s="6" t="s">
        <v>102</v>
      </c>
      <c r="B110" s="7" t="e">
        <f>VLOOKUP(#REF!,[1]Sheet2!$A$1:$J$125,7,TRUE)</f>
        <v>#REF!</v>
      </c>
      <c r="C110" s="7" t="e">
        <f>VLOOKUP(#REF!,[1]Sheet2!$A$1:$J$125,8,TRUE)</f>
        <v>#REF!</v>
      </c>
      <c r="D110" s="14" t="s">
        <v>470</v>
      </c>
    </row>
    <row r="111" spans="1:4" ht="15.6" x14ac:dyDescent="0.3">
      <c r="A111" s="6" t="s">
        <v>103</v>
      </c>
      <c r="B111" s="7" t="e">
        <f>VLOOKUP(#REF!,[1]Sheet2!$A$1:$J$125,7,TRUE)</f>
        <v>#REF!</v>
      </c>
      <c r="C111" s="7" t="e">
        <f>VLOOKUP(#REF!,[1]Sheet2!$A$1:$J$125,8,TRUE)</f>
        <v>#REF!</v>
      </c>
      <c r="D111" s="14" t="s">
        <v>470</v>
      </c>
    </row>
    <row r="112" spans="1:4" ht="15.6" x14ac:dyDescent="0.3">
      <c r="A112" s="6" t="s">
        <v>104</v>
      </c>
      <c r="B112" s="7" t="e">
        <f>VLOOKUP(#REF!,[1]Sheet2!$A$1:$J$125,7,TRUE)</f>
        <v>#REF!</v>
      </c>
      <c r="C112" s="7" t="e">
        <f>VLOOKUP(#REF!,[1]Sheet2!$A$1:$J$125,8,TRUE)</f>
        <v>#REF!</v>
      </c>
      <c r="D112" s="14" t="s">
        <v>470</v>
      </c>
    </row>
    <row r="113" spans="1:4" ht="15.6" x14ac:dyDescent="0.3">
      <c r="A113" s="6" t="s">
        <v>105</v>
      </c>
      <c r="B113" s="7" t="e">
        <f>VLOOKUP(#REF!,[1]Sheet2!$A$1:$J$125,7,TRUE)</f>
        <v>#REF!</v>
      </c>
      <c r="C113" s="7" t="e">
        <f>VLOOKUP(#REF!,[1]Sheet2!$A$1:$J$125,8,TRUE)</f>
        <v>#REF!</v>
      </c>
      <c r="D113" s="14" t="s">
        <v>470</v>
      </c>
    </row>
    <row r="114" spans="1:4" ht="15.6" x14ac:dyDescent="0.3">
      <c r="A114" s="6" t="s">
        <v>106</v>
      </c>
      <c r="B114" s="7" t="e">
        <f>VLOOKUP(#REF!,[1]Sheet2!$A$1:$J$125,7,TRUE)</f>
        <v>#REF!</v>
      </c>
      <c r="C114" s="7" t="e">
        <f>VLOOKUP(#REF!,[1]Sheet2!$A$1:$J$125,8,TRUE)</f>
        <v>#REF!</v>
      </c>
      <c r="D114" s="14" t="s">
        <v>470</v>
      </c>
    </row>
    <row r="115" spans="1:4" ht="15.6" x14ac:dyDescent="0.3">
      <c r="A115" s="6" t="s">
        <v>107</v>
      </c>
      <c r="B115" s="7" t="e">
        <f>VLOOKUP(#REF!,[1]Sheet2!$A$1:$J$125,7,TRUE)</f>
        <v>#REF!</v>
      </c>
      <c r="C115" s="7" t="e">
        <f>VLOOKUP(#REF!,[1]Sheet2!$A$1:$J$125,8,TRUE)</f>
        <v>#REF!</v>
      </c>
      <c r="D115" s="14" t="s">
        <v>470</v>
      </c>
    </row>
    <row r="116" spans="1:4" ht="15.6" x14ac:dyDescent="0.3">
      <c r="A116" s="6" t="s">
        <v>108</v>
      </c>
      <c r="B116" s="7" t="e">
        <f>VLOOKUP(#REF!,[1]Sheet2!$A$1:$J$125,7,TRUE)</f>
        <v>#REF!</v>
      </c>
      <c r="C116" s="7" t="e">
        <f>VLOOKUP(#REF!,[1]Sheet2!$A$1:$J$125,8,TRUE)</f>
        <v>#REF!</v>
      </c>
      <c r="D116" s="14" t="s">
        <v>470</v>
      </c>
    </row>
    <row r="117" spans="1:4" ht="15.6" x14ac:dyDescent="0.3">
      <c r="A117" s="6" t="s">
        <v>109</v>
      </c>
      <c r="B117" s="7" t="e">
        <f>VLOOKUP(#REF!,[1]Sheet2!$A$1:$J$125,7,TRUE)</f>
        <v>#REF!</v>
      </c>
      <c r="C117" s="7" t="e">
        <f>VLOOKUP(#REF!,[1]Sheet2!$A$1:$J$125,8,TRUE)</f>
        <v>#REF!</v>
      </c>
      <c r="D117" s="14" t="s">
        <v>470</v>
      </c>
    </row>
    <row r="118" spans="1:4" ht="15.6" x14ac:dyDescent="0.3">
      <c r="A118" s="6" t="s">
        <v>110</v>
      </c>
      <c r="B118" s="7" t="e">
        <f>VLOOKUP(#REF!,[1]Sheet2!$A$1:$J$125,7,TRUE)</f>
        <v>#REF!</v>
      </c>
      <c r="C118" s="7" t="e">
        <f>VLOOKUP(#REF!,[1]Sheet2!$A$1:$J$125,8,TRUE)</f>
        <v>#REF!</v>
      </c>
      <c r="D118" s="14" t="s">
        <v>470</v>
      </c>
    </row>
    <row r="119" spans="1:4" ht="15.6" x14ac:dyDescent="0.3">
      <c r="A119" s="6" t="s">
        <v>111</v>
      </c>
      <c r="B119" s="7" t="e">
        <f>VLOOKUP(#REF!,[1]Sheet2!$A$1:$J$125,7,TRUE)</f>
        <v>#REF!</v>
      </c>
      <c r="C119" s="7" t="e">
        <f>VLOOKUP(#REF!,[1]Sheet2!$A$1:$J$125,8,TRUE)</f>
        <v>#REF!</v>
      </c>
      <c r="D119" s="14" t="s">
        <v>470</v>
      </c>
    </row>
    <row r="120" spans="1:4" ht="15.6" x14ac:dyDescent="0.3">
      <c r="A120" s="6" t="s">
        <v>112</v>
      </c>
      <c r="B120" s="7" t="e">
        <f>VLOOKUP(#REF!,[1]Sheet2!$A$1:$J$125,7,TRUE)</f>
        <v>#REF!</v>
      </c>
      <c r="C120" s="7" t="e">
        <f>VLOOKUP(#REF!,[1]Sheet2!$A$1:$J$125,8,TRUE)</f>
        <v>#REF!</v>
      </c>
      <c r="D120" s="14" t="s">
        <v>470</v>
      </c>
    </row>
    <row r="121" spans="1:4" ht="15.6" x14ac:dyDescent="0.3">
      <c r="A121" s="6" t="s">
        <v>113</v>
      </c>
      <c r="B121" s="10" t="e">
        <f>VLOOKUP(#REF!,[1]Sheet2!$A$1:$J$125,7,TRUE)</f>
        <v>#REF!</v>
      </c>
      <c r="C121" s="7" t="e">
        <f>VLOOKUP(#REF!,[1]Sheet2!$A$1:$J$125,8,TRUE)</f>
        <v>#REF!</v>
      </c>
      <c r="D121" s="14" t="s">
        <v>470</v>
      </c>
    </row>
    <row r="122" spans="1:4" ht="15.6" x14ac:dyDescent="0.3">
      <c r="A122" s="6" t="s">
        <v>114</v>
      </c>
      <c r="B122" s="7" t="e">
        <f>VLOOKUP(#REF!,[1]Sheet2!$A$1:$J$125,7,TRUE)</f>
        <v>#REF!</v>
      </c>
      <c r="C122" s="7" t="e">
        <f>VLOOKUP(#REF!,[1]Sheet2!$A$1:$J$125,8,TRUE)</f>
        <v>#REF!</v>
      </c>
      <c r="D122" s="14" t="s">
        <v>470</v>
      </c>
    </row>
    <row r="123" spans="1:4" ht="15.6" x14ac:dyDescent="0.3">
      <c r="A123" s="6" t="s">
        <v>115</v>
      </c>
      <c r="B123" s="7" t="e">
        <f>VLOOKUP(#REF!,[1]Sheet2!$A$1:$J$125,7,TRUE)</f>
        <v>#REF!</v>
      </c>
      <c r="C123" s="7" t="e">
        <f>VLOOKUP(#REF!,[1]Sheet2!$A$1:$J$125,8,TRUE)</f>
        <v>#REF!</v>
      </c>
      <c r="D123" s="14" t="s">
        <v>470</v>
      </c>
    </row>
    <row r="124" spans="1:4" ht="15.6" x14ac:dyDescent="0.3">
      <c r="A124" s="6" t="s">
        <v>116</v>
      </c>
      <c r="B124" s="7" t="e">
        <f>VLOOKUP(#REF!,[1]Sheet2!$A$1:$J$125,7,TRUE)</f>
        <v>#REF!</v>
      </c>
      <c r="C124" s="7" t="e">
        <f>VLOOKUP(#REF!,[1]Sheet2!$A$1:$J$125,8,TRUE)</f>
        <v>#REF!</v>
      </c>
      <c r="D124" s="14" t="s">
        <v>470</v>
      </c>
    </row>
    <row r="125" spans="1:4" ht="15.6" x14ac:dyDescent="0.3">
      <c r="A125" s="6" t="s">
        <v>117</v>
      </c>
      <c r="B125" s="7" t="e">
        <f>VLOOKUP(#REF!,[1]Sheet2!$A$1:$J$125,7,TRUE)</f>
        <v>#REF!</v>
      </c>
      <c r="C125" s="7" t="e">
        <f>VLOOKUP(#REF!,[1]Sheet2!$A$1:$J$125,8,TRUE)</f>
        <v>#REF!</v>
      </c>
      <c r="D125" s="14" t="s">
        <v>470</v>
      </c>
    </row>
    <row r="126" spans="1:4" ht="15.6" x14ac:dyDescent="0.3">
      <c r="A126" s="6" t="s">
        <v>118</v>
      </c>
      <c r="B126" s="7" t="e">
        <f>VLOOKUP(#REF!,[1]Sheet2!$A$1:$J$125,7,TRUE)</f>
        <v>#REF!</v>
      </c>
      <c r="C126" s="7" t="e">
        <f>VLOOKUP(#REF!,[1]Sheet2!$A$1:$J$125,8,TRUE)</f>
        <v>#REF!</v>
      </c>
      <c r="D126" s="14" t="s">
        <v>470</v>
      </c>
    </row>
    <row r="127" spans="1:4" ht="15.6" x14ac:dyDescent="0.3">
      <c r="A127" s="6" t="s">
        <v>119</v>
      </c>
      <c r="B127" s="7" t="e">
        <f>VLOOKUP(#REF!,[1]Sheet2!$A$1:$J$125,7,TRUE)</f>
        <v>#REF!</v>
      </c>
      <c r="C127" s="7" t="e">
        <f>VLOOKUP(#REF!,[1]Sheet2!$A$1:$J$125,8,TRUE)</f>
        <v>#REF!</v>
      </c>
      <c r="D127" s="14" t="s">
        <v>470</v>
      </c>
    </row>
    <row r="128" spans="1:4" ht="15.6" x14ac:dyDescent="0.3">
      <c r="A128" s="6" t="s">
        <v>120</v>
      </c>
      <c r="B128" s="7" t="e">
        <f>VLOOKUP(#REF!,[1]Sheet2!$A$1:$J$125,7,TRUE)</f>
        <v>#REF!</v>
      </c>
      <c r="C128" s="7" t="e">
        <f>VLOOKUP(#REF!,[1]Sheet2!$A$1:$J$125,8,TRUE)</f>
        <v>#REF!</v>
      </c>
      <c r="D128" s="14" t="s">
        <v>470</v>
      </c>
    </row>
    <row r="129" spans="1:4" ht="15.6" x14ac:dyDescent="0.3">
      <c r="A129" s="6" t="s">
        <v>121</v>
      </c>
      <c r="B129" s="7" t="e">
        <f>VLOOKUP(#REF!,[1]Sheet2!$A$1:$J$125,7,TRUE)</f>
        <v>#REF!</v>
      </c>
      <c r="C129" s="7" t="e">
        <f>VLOOKUP(#REF!,[1]Sheet2!$A$1:$J$125,8,TRUE)</f>
        <v>#REF!</v>
      </c>
      <c r="D129" s="14" t="s">
        <v>470</v>
      </c>
    </row>
    <row r="130" spans="1:4" ht="15.6" x14ac:dyDescent="0.3">
      <c r="A130" s="6" t="s">
        <v>122</v>
      </c>
      <c r="B130" s="7" t="e">
        <f>VLOOKUP(#REF!,[1]Sheet2!$A$1:$J$125,7,TRUE)</f>
        <v>#REF!</v>
      </c>
      <c r="C130" s="7" t="e">
        <f>VLOOKUP(#REF!,[1]Sheet2!$A$1:$J$125,8,TRUE)</f>
        <v>#REF!</v>
      </c>
      <c r="D130" s="14" t="s">
        <v>470</v>
      </c>
    </row>
    <row r="131" spans="1:4" ht="15.6" x14ac:dyDescent="0.3">
      <c r="A131" s="6" t="s">
        <v>123</v>
      </c>
      <c r="B131" s="7" t="e">
        <f>VLOOKUP(#REF!,[1]Sheet2!$A$1:$J$125,7,TRUE)</f>
        <v>#REF!</v>
      </c>
      <c r="C131" s="7" t="e">
        <f>VLOOKUP(#REF!,[1]Sheet2!$A$1:$J$125,8,TRUE)</f>
        <v>#REF!</v>
      </c>
      <c r="D131" s="14" t="s">
        <v>470</v>
      </c>
    </row>
    <row r="132" spans="1:4" ht="15.6" x14ac:dyDescent="0.3">
      <c r="A132" s="6" t="s">
        <v>124</v>
      </c>
      <c r="B132" s="7" t="e">
        <f>VLOOKUP(#REF!,[1]Sheet2!$A$1:$J$125,7,TRUE)</f>
        <v>#REF!</v>
      </c>
      <c r="C132" s="7" t="e">
        <f>VLOOKUP(#REF!,[1]Sheet2!$A$1:$J$125,8,TRUE)</f>
        <v>#REF!</v>
      </c>
      <c r="D132" s="14" t="s">
        <v>470</v>
      </c>
    </row>
    <row r="133" spans="1:4" ht="15.6" x14ac:dyDescent="0.3">
      <c r="A133" s="6" t="s">
        <v>125</v>
      </c>
      <c r="B133" s="7" t="e">
        <f>VLOOKUP(#REF!,[1]Sheet2!$A$1:$J$125,7,TRUE)</f>
        <v>#REF!</v>
      </c>
      <c r="C133" s="7" t="e">
        <f>VLOOKUP(#REF!,[1]Sheet2!$A$1:$J$125,8,TRUE)</f>
        <v>#REF!</v>
      </c>
      <c r="D133" s="14" t="s">
        <v>470</v>
      </c>
    </row>
    <row r="134" spans="1:4" ht="15.6" x14ac:dyDescent="0.3">
      <c r="A134" s="6" t="s">
        <v>126</v>
      </c>
      <c r="B134" s="7" t="e">
        <f>VLOOKUP(#REF!,[1]Sheet2!$A$1:$J$125,7,TRUE)</f>
        <v>#REF!</v>
      </c>
      <c r="C134" s="7" t="e">
        <f>VLOOKUP(#REF!,[1]Sheet2!$A$1:$J$125,8,TRUE)</f>
        <v>#REF!</v>
      </c>
      <c r="D134" s="14" t="s">
        <v>470</v>
      </c>
    </row>
    <row r="135" spans="1:4" ht="15.6" x14ac:dyDescent="0.3">
      <c r="A135" s="6" t="s">
        <v>127</v>
      </c>
      <c r="B135" s="7" t="e">
        <f>VLOOKUP(#REF!,[1]Sheet2!$A$1:$J$125,7,TRUE)</f>
        <v>#REF!</v>
      </c>
      <c r="C135" s="7" t="e">
        <f>VLOOKUP(#REF!,[1]Sheet2!$A$1:$J$125,8,TRUE)</f>
        <v>#REF!</v>
      </c>
      <c r="D135" s="14" t="s">
        <v>470</v>
      </c>
    </row>
    <row r="136" spans="1:4" ht="15.6" x14ac:dyDescent="0.3">
      <c r="A136" s="6" t="s">
        <v>128</v>
      </c>
      <c r="B136" s="7" t="e">
        <f>VLOOKUP(#REF!,[1]Sheet2!$A$1:$J$125,7,TRUE)</f>
        <v>#REF!</v>
      </c>
      <c r="C136" s="7" t="e">
        <f>VLOOKUP(#REF!,[1]Sheet2!$A$1:$J$125,8,TRUE)</f>
        <v>#REF!</v>
      </c>
      <c r="D136" s="14" t="s">
        <v>470</v>
      </c>
    </row>
    <row r="137" spans="1:4" ht="15.6" x14ac:dyDescent="0.3">
      <c r="A137" s="6" t="s">
        <v>129</v>
      </c>
      <c r="B137" s="7" t="e">
        <f>VLOOKUP(#REF!,[1]Sheet2!$A$1:$J$125,7,TRUE)</f>
        <v>#REF!</v>
      </c>
      <c r="C137" s="7" t="e">
        <f>VLOOKUP(#REF!,[1]Sheet2!$A$1:$J$125,8,TRUE)</f>
        <v>#REF!</v>
      </c>
      <c r="D137" s="14" t="s">
        <v>470</v>
      </c>
    </row>
    <row r="138" spans="1:4" ht="15.6" x14ac:dyDescent="0.3">
      <c r="A138" s="6" t="s">
        <v>130</v>
      </c>
      <c r="B138" s="7" t="e">
        <f>VLOOKUP(#REF!,[1]Sheet2!$A$1:$J$125,7,TRUE)</f>
        <v>#REF!</v>
      </c>
      <c r="C138" s="7" t="e">
        <f>VLOOKUP(#REF!,[1]Sheet2!$A$1:$J$125,8,TRUE)</f>
        <v>#REF!</v>
      </c>
      <c r="D138" s="14" t="s">
        <v>470</v>
      </c>
    </row>
    <row r="139" spans="1:4" ht="15.6" x14ac:dyDescent="0.3">
      <c r="A139" s="6" t="s">
        <v>131</v>
      </c>
      <c r="B139" s="7" t="e">
        <f>VLOOKUP(#REF!,[1]Sheet2!$A$1:$J$125,7,TRUE)</f>
        <v>#REF!</v>
      </c>
      <c r="C139" s="7" t="e">
        <f>VLOOKUP(#REF!,[1]Sheet2!$A$1:$J$125,8,TRUE)</f>
        <v>#REF!</v>
      </c>
      <c r="D139" s="14" t="s">
        <v>470</v>
      </c>
    </row>
    <row r="140" spans="1:4" ht="15.6" x14ac:dyDescent="0.3">
      <c r="A140" s="6" t="s">
        <v>132</v>
      </c>
      <c r="B140" s="7" t="e">
        <f>VLOOKUP(#REF!,[1]Sheet2!$A$1:$J$125,7,TRUE)</f>
        <v>#REF!</v>
      </c>
      <c r="C140" s="7" t="e">
        <f>VLOOKUP(#REF!,[1]Sheet2!$A$1:$J$125,8,TRUE)</f>
        <v>#REF!</v>
      </c>
      <c r="D140" s="14" t="s">
        <v>470</v>
      </c>
    </row>
    <row r="141" spans="1:4" ht="15.6" x14ac:dyDescent="0.3">
      <c r="A141" s="6" t="s">
        <v>133</v>
      </c>
      <c r="B141" s="7" t="e">
        <f>VLOOKUP(#REF!,[1]Sheet2!$A$1:$J$125,7,TRUE)</f>
        <v>#REF!</v>
      </c>
      <c r="C141" s="7" t="e">
        <f>VLOOKUP(#REF!,[1]Sheet2!$A$1:$J$125,8,TRUE)</f>
        <v>#REF!</v>
      </c>
      <c r="D141" s="14" t="s">
        <v>470</v>
      </c>
    </row>
    <row r="142" spans="1:4" ht="15.6" x14ac:dyDescent="0.3">
      <c r="A142" s="6" t="s">
        <v>134</v>
      </c>
      <c r="B142" s="7" t="e">
        <f>VLOOKUP(#REF!,[1]Sheet2!$A$1:$J$125,7,TRUE)</f>
        <v>#REF!</v>
      </c>
      <c r="C142" s="7" t="e">
        <f>VLOOKUP(#REF!,[1]Sheet2!$A$1:$J$125,8,TRUE)</f>
        <v>#REF!</v>
      </c>
      <c r="D142" s="14" t="s">
        <v>470</v>
      </c>
    </row>
    <row r="143" spans="1:4" ht="15.6" x14ac:dyDescent="0.3">
      <c r="A143" s="6" t="s">
        <v>135</v>
      </c>
      <c r="B143" s="7" t="e">
        <f>VLOOKUP(#REF!,[1]Sheet2!$A$1:$J$125,7,TRUE)</f>
        <v>#REF!</v>
      </c>
      <c r="C143" s="7" t="e">
        <f>VLOOKUP(#REF!,[1]Sheet2!$A$1:$J$125,8,TRUE)</f>
        <v>#REF!</v>
      </c>
      <c r="D143" s="14" t="s">
        <v>470</v>
      </c>
    </row>
    <row r="144" spans="1:4" ht="15.6" x14ac:dyDescent="0.3">
      <c r="A144" s="6" t="s">
        <v>136</v>
      </c>
      <c r="B144" s="7" t="e">
        <f>VLOOKUP(#REF!,[1]Sheet2!$A$1:$J$125,7,TRUE)</f>
        <v>#REF!</v>
      </c>
      <c r="C144" s="7" t="e">
        <f>VLOOKUP(#REF!,[1]Sheet2!$A$1:$J$125,8,TRUE)</f>
        <v>#REF!</v>
      </c>
      <c r="D144" s="14" t="s">
        <v>470</v>
      </c>
    </row>
    <row r="145" spans="1:4" ht="15.6" x14ac:dyDescent="0.3">
      <c r="A145" s="6" t="s">
        <v>137</v>
      </c>
      <c r="B145" s="7" t="e">
        <f>VLOOKUP(#REF!,[1]Sheet2!$A$1:$J$125,7,TRUE)</f>
        <v>#REF!</v>
      </c>
      <c r="C145" s="7" t="e">
        <f>VLOOKUP(#REF!,[1]Sheet2!$A$1:$J$125,8,TRUE)</f>
        <v>#REF!</v>
      </c>
      <c r="D145" s="14" t="s">
        <v>470</v>
      </c>
    </row>
    <row r="146" spans="1:4" ht="15.6" x14ac:dyDescent="0.3">
      <c r="A146" s="6" t="s">
        <v>138</v>
      </c>
      <c r="B146" s="7" t="e">
        <f>VLOOKUP(#REF!,[1]Sheet2!$A$1:$J$125,7,TRUE)</f>
        <v>#REF!</v>
      </c>
      <c r="C146" s="7" t="e">
        <f>VLOOKUP(#REF!,[1]Sheet2!$A$1:$J$125,8,TRUE)</f>
        <v>#REF!</v>
      </c>
      <c r="D146" s="14" t="s">
        <v>470</v>
      </c>
    </row>
    <row r="147" spans="1:4" ht="15.6" x14ac:dyDescent="0.3">
      <c r="A147" s="6" t="s">
        <v>139</v>
      </c>
      <c r="B147" s="10" t="e">
        <f>VLOOKUP(#REF!,[1]Sheet2!$A$1:$J$125,7,TRUE)</f>
        <v>#REF!</v>
      </c>
      <c r="C147" s="7" t="e">
        <f>VLOOKUP(#REF!,[1]Sheet2!$A$1:$J$125,8,TRUE)</f>
        <v>#REF!</v>
      </c>
      <c r="D147" s="14" t="s">
        <v>470</v>
      </c>
    </row>
    <row r="148" spans="1:4" ht="15.6" x14ac:dyDescent="0.3">
      <c r="A148" s="6" t="s">
        <v>140</v>
      </c>
      <c r="B148" s="7" t="e">
        <f>VLOOKUP(#REF!,[1]Sheet2!$A$1:$J$125,7,TRUE)</f>
        <v>#REF!</v>
      </c>
      <c r="C148" s="7" t="e">
        <f>VLOOKUP(#REF!,[1]Sheet2!$A$1:$J$125,8,TRUE)</f>
        <v>#REF!</v>
      </c>
      <c r="D148" s="14" t="s">
        <v>470</v>
      </c>
    </row>
    <row r="149" spans="1:4" ht="15.6" x14ac:dyDescent="0.3">
      <c r="A149" s="6" t="s">
        <v>141</v>
      </c>
      <c r="B149" s="7" t="e">
        <f>VLOOKUP(#REF!,[1]Sheet2!$A$1:$J$125,7,TRUE)</f>
        <v>#REF!</v>
      </c>
      <c r="C149" s="7" t="e">
        <f>VLOOKUP(#REF!,[1]Sheet2!$A$1:$J$125,8,TRUE)</f>
        <v>#REF!</v>
      </c>
      <c r="D149" s="14" t="s">
        <v>470</v>
      </c>
    </row>
    <row r="150" spans="1:4" ht="15.6" x14ac:dyDescent="0.3">
      <c r="A150" s="6" t="s">
        <v>142</v>
      </c>
      <c r="B150" s="7" t="e">
        <f>VLOOKUP(#REF!,[1]Sheet2!$A$1:$J$125,7,TRUE)</f>
        <v>#REF!</v>
      </c>
      <c r="C150" s="7" t="e">
        <f>VLOOKUP(#REF!,[1]Sheet2!$A$1:$J$125,8,TRUE)</f>
        <v>#REF!</v>
      </c>
      <c r="D150" s="14" t="s">
        <v>470</v>
      </c>
    </row>
    <row r="151" spans="1:4" ht="15.6" x14ac:dyDescent="0.3">
      <c r="A151" s="6" t="s">
        <v>143</v>
      </c>
      <c r="B151" s="7" t="e">
        <f>VLOOKUP(#REF!,[1]Sheet2!$A$1:$J$125,7,TRUE)</f>
        <v>#REF!</v>
      </c>
      <c r="C151" s="7" t="e">
        <f>VLOOKUP(#REF!,[1]Sheet2!$A$1:$J$125,8,TRUE)</f>
        <v>#REF!</v>
      </c>
      <c r="D151" s="14" t="s">
        <v>470</v>
      </c>
    </row>
    <row r="152" spans="1:4" ht="15.6" x14ac:dyDescent="0.3">
      <c r="A152" s="6" t="s">
        <v>144</v>
      </c>
      <c r="B152" s="7" t="e">
        <f>VLOOKUP(#REF!,[1]Sheet2!$A$1:$J$125,7,TRUE)</f>
        <v>#REF!</v>
      </c>
      <c r="C152" s="7" t="e">
        <f>VLOOKUP(#REF!,[1]Sheet2!$A$1:$J$125,8,TRUE)</f>
        <v>#REF!</v>
      </c>
      <c r="D152" s="14" t="s">
        <v>470</v>
      </c>
    </row>
    <row r="153" spans="1:4" ht="15.6" x14ac:dyDescent="0.3">
      <c r="A153" s="6" t="s">
        <v>145</v>
      </c>
      <c r="B153" s="7" t="e">
        <f>VLOOKUP(#REF!,[1]Sheet2!$A$1:$J$125,7,TRUE)</f>
        <v>#REF!</v>
      </c>
      <c r="C153" s="7" t="e">
        <f>VLOOKUP(#REF!,[1]Sheet2!$A$1:$J$125,8,TRUE)</f>
        <v>#REF!</v>
      </c>
      <c r="D153" s="14" t="s">
        <v>470</v>
      </c>
    </row>
    <row r="154" spans="1:4" ht="15.6" x14ac:dyDescent="0.3">
      <c r="A154" s="6" t="s">
        <v>146</v>
      </c>
      <c r="B154" s="7" t="e">
        <f>VLOOKUP(#REF!,[1]Sheet2!$A$1:$J$125,7,TRUE)</f>
        <v>#REF!</v>
      </c>
      <c r="C154" s="7" t="e">
        <f>VLOOKUP(#REF!,[1]Sheet2!$A$1:$J$125,8,TRUE)</f>
        <v>#REF!</v>
      </c>
      <c r="D154" s="14" t="s">
        <v>470</v>
      </c>
    </row>
    <row r="155" spans="1:4" ht="15.6" x14ac:dyDescent="0.3">
      <c r="A155" s="6" t="s">
        <v>147</v>
      </c>
      <c r="B155" s="7" t="e">
        <f>VLOOKUP(#REF!,[1]Sheet2!$A$1:$J$125,7,TRUE)</f>
        <v>#REF!</v>
      </c>
      <c r="C155" s="7" t="e">
        <f>VLOOKUP(#REF!,[1]Sheet2!$A$1:$J$125,8,TRUE)</f>
        <v>#REF!</v>
      </c>
      <c r="D155" s="14" t="s">
        <v>470</v>
      </c>
    </row>
    <row r="156" spans="1:4" ht="15.6" x14ac:dyDescent="0.3">
      <c r="A156" s="6" t="s">
        <v>148</v>
      </c>
      <c r="B156" s="7" t="e">
        <f>VLOOKUP(#REF!,[1]Sheet2!$A$1:$J$125,7,TRUE)</f>
        <v>#REF!</v>
      </c>
      <c r="C156" s="7" t="e">
        <f>VLOOKUP(#REF!,[1]Sheet2!$A$1:$J$125,8,TRUE)</f>
        <v>#REF!</v>
      </c>
      <c r="D156" s="14" t="s">
        <v>470</v>
      </c>
    </row>
    <row r="157" spans="1:4" ht="15.6" x14ac:dyDescent="0.3">
      <c r="A157" s="6" t="s">
        <v>149</v>
      </c>
      <c r="B157" s="7" t="e">
        <f>VLOOKUP(#REF!,[1]Sheet2!$A$1:$J$125,7,TRUE)</f>
        <v>#REF!</v>
      </c>
      <c r="C157" s="7" t="e">
        <f>VLOOKUP(#REF!,[1]Sheet2!$A$1:$J$125,8,TRUE)</f>
        <v>#REF!</v>
      </c>
      <c r="D157" s="14" t="s">
        <v>470</v>
      </c>
    </row>
    <row r="158" spans="1:4" ht="15.6" x14ac:dyDescent="0.3">
      <c r="A158" s="6" t="s">
        <v>150</v>
      </c>
      <c r="B158" s="7" t="e">
        <f>VLOOKUP(#REF!,[1]Sheet2!$A$1:$J$125,7,TRUE)</f>
        <v>#REF!</v>
      </c>
      <c r="C158" s="7" t="e">
        <f>VLOOKUP(#REF!,[1]Sheet2!$A$1:$J$125,8,TRUE)</f>
        <v>#REF!</v>
      </c>
      <c r="D158" s="14" t="s">
        <v>470</v>
      </c>
    </row>
    <row r="159" spans="1:4" ht="15.6" x14ac:dyDescent="0.3">
      <c r="A159" s="6" t="s">
        <v>151</v>
      </c>
      <c r="B159" s="7" t="e">
        <f>VLOOKUP(#REF!,[1]Sheet2!$A$1:$J$125,7,TRUE)</f>
        <v>#REF!</v>
      </c>
      <c r="C159" s="7" t="e">
        <f>VLOOKUP(#REF!,[1]Sheet2!$A$1:$J$125,8,TRUE)</f>
        <v>#REF!</v>
      </c>
      <c r="D159" s="14" t="s">
        <v>470</v>
      </c>
    </row>
    <row r="160" spans="1:4" ht="15.6" x14ac:dyDescent="0.3">
      <c r="A160" s="6" t="s">
        <v>152</v>
      </c>
      <c r="B160" s="7" t="e">
        <f>VLOOKUP(#REF!,[1]Sheet2!$A$1:$J$125,7,TRUE)</f>
        <v>#REF!</v>
      </c>
      <c r="C160" s="7" t="e">
        <f>VLOOKUP(#REF!,[1]Sheet2!$A$1:$J$125,8,TRUE)</f>
        <v>#REF!</v>
      </c>
      <c r="D160" s="14" t="s">
        <v>470</v>
      </c>
    </row>
    <row r="161" spans="1:4" ht="15.6" x14ac:dyDescent="0.3">
      <c r="A161" s="6" t="s">
        <v>153</v>
      </c>
      <c r="B161" s="7" t="e">
        <f>VLOOKUP(#REF!,[1]Sheet2!$A$1:$J$125,7,TRUE)</f>
        <v>#REF!</v>
      </c>
      <c r="C161" s="7" t="e">
        <f>VLOOKUP(#REF!,[1]Sheet2!$A$1:$J$125,8,TRUE)</f>
        <v>#REF!</v>
      </c>
      <c r="D161" s="14" t="s">
        <v>470</v>
      </c>
    </row>
    <row r="162" spans="1:4" ht="15.6" x14ac:dyDescent="0.3">
      <c r="A162" s="6" t="s">
        <v>154</v>
      </c>
      <c r="B162" s="7" t="e">
        <f>VLOOKUP(#REF!,[1]Sheet2!$A$1:$J$125,7,TRUE)</f>
        <v>#REF!</v>
      </c>
      <c r="C162" s="7" t="e">
        <f>VLOOKUP(#REF!,[1]Sheet2!$A$1:$J$125,8,TRUE)</f>
        <v>#REF!</v>
      </c>
      <c r="D162" s="14" t="s">
        <v>470</v>
      </c>
    </row>
    <row r="163" spans="1:4" ht="15.6" x14ac:dyDescent="0.3">
      <c r="A163" s="6" t="s">
        <v>155</v>
      </c>
      <c r="B163" s="7" t="e">
        <f>VLOOKUP(#REF!,[1]Sheet2!$A$1:$J$125,7,TRUE)</f>
        <v>#REF!</v>
      </c>
      <c r="C163" s="7" t="e">
        <f>VLOOKUP(#REF!,[1]Sheet2!$A$1:$J$125,8,TRUE)</f>
        <v>#REF!</v>
      </c>
      <c r="D163" s="14" t="s">
        <v>470</v>
      </c>
    </row>
    <row r="164" spans="1:4" ht="15.6" x14ac:dyDescent="0.3">
      <c r="A164" s="6" t="s">
        <v>156</v>
      </c>
      <c r="B164" s="7" t="e">
        <f>VLOOKUP(#REF!,[1]Sheet2!$A$1:$J$125,7,TRUE)</f>
        <v>#REF!</v>
      </c>
      <c r="C164" s="7" t="e">
        <f>VLOOKUP(#REF!,[1]Sheet2!$A$1:$J$125,8,TRUE)</f>
        <v>#REF!</v>
      </c>
      <c r="D164" s="14" t="s">
        <v>470</v>
      </c>
    </row>
    <row r="165" spans="1:4" ht="15.6" x14ac:dyDescent="0.3">
      <c r="A165" s="6" t="s">
        <v>157</v>
      </c>
      <c r="B165" s="7" t="e">
        <f>VLOOKUP(#REF!,[1]Sheet2!$A$1:$J$125,7,TRUE)</f>
        <v>#REF!</v>
      </c>
      <c r="C165" s="7" t="e">
        <f>VLOOKUP(#REF!,[1]Sheet2!$A$1:$J$125,8,TRUE)</f>
        <v>#REF!</v>
      </c>
      <c r="D165" s="14" t="s">
        <v>470</v>
      </c>
    </row>
    <row r="166" spans="1:4" ht="15.6" x14ac:dyDescent="0.3">
      <c r="A166" s="6" t="s">
        <v>158</v>
      </c>
      <c r="B166" s="7" t="e">
        <f>VLOOKUP(#REF!,[1]Sheet2!$A$1:$J$125,7,TRUE)</f>
        <v>#REF!</v>
      </c>
      <c r="C166" s="7" t="e">
        <f>VLOOKUP(#REF!,[1]Sheet2!$A$1:$J$125,8,TRUE)</f>
        <v>#REF!</v>
      </c>
      <c r="D166" s="14" t="s">
        <v>470</v>
      </c>
    </row>
    <row r="167" spans="1:4" ht="15.6" x14ac:dyDescent="0.3">
      <c r="A167" s="6" t="s">
        <v>159</v>
      </c>
      <c r="B167" s="7" t="e">
        <f>VLOOKUP(#REF!,[1]Sheet2!$A$1:$J$125,7,TRUE)</f>
        <v>#REF!</v>
      </c>
      <c r="C167" s="7" t="e">
        <f>VLOOKUP(#REF!,[1]Sheet2!$A$1:$J$125,8,TRUE)</f>
        <v>#REF!</v>
      </c>
      <c r="D167" s="14" t="s">
        <v>470</v>
      </c>
    </row>
    <row r="168" spans="1:4" ht="15.6" x14ac:dyDescent="0.3">
      <c r="A168" s="6" t="s">
        <v>160</v>
      </c>
      <c r="B168" s="7" t="e">
        <f>VLOOKUP(#REF!,[1]Sheet2!$A$1:$J$125,7,TRUE)</f>
        <v>#REF!</v>
      </c>
      <c r="C168" s="7" t="e">
        <f>VLOOKUP(#REF!,[1]Sheet2!$A$1:$J$125,8,TRUE)</f>
        <v>#REF!</v>
      </c>
      <c r="D168" s="14" t="s">
        <v>470</v>
      </c>
    </row>
    <row r="169" spans="1:4" ht="15.6" x14ac:dyDescent="0.3">
      <c r="A169" s="6" t="s">
        <v>161</v>
      </c>
      <c r="B169" s="7" t="e">
        <f>VLOOKUP(#REF!,[1]Sheet2!$A$1:$J$125,7,TRUE)</f>
        <v>#REF!</v>
      </c>
      <c r="C169" s="7" t="e">
        <f>VLOOKUP(#REF!,[1]Sheet2!$A$1:$J$125,8,TRUE)</f>
        <v>#REF!</v>
      </c>
      <c r="D169" s="14" t="s">
        <v>470</v>
      </c>
    </row>
    <row r="170" spans="1:4" ht="15.6" x14ac:dyDescent="0.3">
      <c r="A170" s="6" t="s">
        <v>162</v>
      </c>
      <c r="B170" s="7" t="e">
        <f>VLOOKUP(#REF!,[1]Sheet2!$A$1:$J$125,7,TRUE)</f>
        <v>#REF!</v>
      </c>
      <c r="C170" s="7" t="e">
        <f>VLOOKUP(#REF!,[1]Sheet2!$A$1:$J$125,8,TRUE)</f>
        <v>#REF!</v>
      </c>
      <c r="D170" s="14" t="s">
        <v>470</v>
      </c>
    </row>
    <row r="171" spans="1:4" ht="15.6" x14ac:dyDescent="0.3">
      <c r="A171" s="6" t="s">
        <v>163</v>
      </c>
      <c r="B171" s="7" t="e">
        <f>VLOOKUP(#REF!,[1]Sheet2!$A$1:$J$125,7,TRUE)</f>
        <v>#REF!</v>
      </c>
      <c r="C171" s="7" t="e">
        <f>VLOOKUP(#REF!,[1]Sheet2!$A$1:$J$125,8,TRUE)</f>
        <v>#REF!</v>
      </c>
      <c r="D171" s="14" t="s">
        <v>470</v>
      </c>
    </row>
    <row r="172" spans="1:4" ht="15.6" x14ac:dyDescent="0.3">
      <c r="A172" s="6" t="s">
        <v>164</v>
      </c>
      <c r="B172" s="7" t="e">
        <f>VLOOKUP(#REF!,[1]Sheet2!$A$1:$J$125,7,TRUE)</f>
        <v>#REF!</v>
      </c>
      <c r="C172" s="7" t="e">
        <f>VLOOKUP(#REF!,[1]Sheet2!$A$1:$J$125,8,TRUE)</f>
        <v>#REF!</v>
      </c>
      <c r="D172" s="14" t="s">
        <v>470</v>
      </c>
    </row>
    <row r="173" spans="1:4" ht="15.6" x14ac:dyDescent="0.3">
      <c r="A173" s="6" t="s">
        <v>165</v>
      </c>
      <c r="B173" s="7" t="e">
        <f>VLOOKUP(#REF!,[1]Sheet2!$A$1:$J$125,7,TRUE)</f>
        <v>#REF!</v>
      </c>
      <c r="C173" s="7" t="e">
        <f>VLOOKUP(#REF!,[1]Sheet2!$A$1:$J$125,8,TRUE)</f>
        <v>#REF!</v>
      </c>
      <c r="D173" s="14" t="s">
        <v>470</v>
      </c>
    </row>
    <row r="174" spans="1:4" ht="15.6" x14ac:dyDescent="0.3">
      <c r="A174" s="6" t="s">
        <v>166</v>
      </c>
      <c r="B174" s="7" t="e">
        <f>VLOOKUP(#REF!,[1]Sheet2!$A$1:$J$125,7,TRUE)</f>
        <v>#REF!</v>
      </c>
      <c r="C174" s="7" t="e">
        <f>VLOOKUP(#REF!,[1]Sheet2!$A$1:$J$125,8,TRUE)</f>
        <v>#REF!</v>
      </c>
      <c r="D174" s="14" t="s">
        <v>470</v>
      </c>
    </row>
    <row r="175" spans="1:4" ht="15.6" x14ac:dyDescent="0.3">
      <c r="A175" s="6" t="s">
        <v>167</v>
      </c>
      <c r="B175" s="7" t="e">
        <f>VLOOKUP(#REF!,[1]Sheet2!$A$1:$J$125,7,TRUE)</f>
        <v>#REF!</v>
      </c>
      <c r="C175" s="7" t="e">
        <f>VLOOKUP(#REF!,[1]Sheet2!$A$1:$J$125,8,TRUE)</f>
        <v>#REF!</v>
      </c>
      <c r="D175" s="14" t="s">
        <v>470</v>
      </c>
    </row>
    <row r="176" spans="1:4" ht="15.6" x14ac:dyDescent="0.3">
      <c r="A176" s="6" t="s">
        <v>168</v>
      </c>
      <c r="B176" s="7" t="e">
        <f>VLOOKUP(#REF!,[1]Sheet2!$A$1:$J$125,7,TRUE)</f>
        <v>#REF!</v>
      </c>
      <c r="C176" s="7" t="e">
        <f>VLOOKUP(#REF!,[1]Sheet2!$A$1:$J$125,8,TRUE)</f>
        <v>#REF!</v>
      </c>
      <c r="D176" s="14" t="s">
        <v>470</v>
      </c>
    </row>
    <row r="177" spans="1:4" ht="15.6" x14ac:dyDescent="0.3">
      <c r="A177" s="6" t="s">
        <v>169</v>
      </c>
      <c r="B177" s="7" t="e">
        <f>VLOOKUP(#REF!,[1]Sheet2!$A$1:$J$125,7,TRUE)</f>
        <v>#REF!</v>
      </c>
      <c r="C177" s="7" t="e">
        <f>VLOOKUP(#REF!,[1]Sheet2!$A$1:$J$125,8,TRUE)</f>
        <v>#REF!</v>
      </c>
      <c r="D177" s="14" t="s">
        <v>470</v>
      </c>
    </row>
    <row r="178" spans="1:4" ht="15.6" x14ac:dyDescent="0.3">
      <c r="A178" s="6" t="s">
        <v>170</v>
      </c>
      <c r="B178" s="7" t="e">
        <f>VLOOKUP(#REF!,[1]Sheet2!$A$1:$J$125,7,TRUE)</f>
        <v>#REF!</v>
      </c>
      <c r="C178" s="7" t="e">
        <f>VLOOKUP(#REF!,[1]Sheet2!$A$1:$J$125,8,TRUE)</f>
        <v>#REF!</v>
      </c>
      <c r="D178" s="14" t="s">
        <v>470</v>
      </c>
    </row>
    <row r="179" spans="1:4" ht="15.6" x14ac:dyDescent="0.3">
      <c r="A179" s="6" t="s">
        <v>171</v>
      </c>
      <c r="B179" s="7" t="e">
        <f>VLOOKUP(#REF!,[1]Sheet2!$A$1:$J$125,7,TRUE)</f>
        <v>#REF!</v>
      </c>
      <c r="C179" s="7" t="e">
        <f>VLOOKUP(#REF!,[1]Sheet2!$A$1:$J$125,8,TRUE)</f>
        <v>#REF!</v>
      </c>
      <c r="D179" s="14" t="s">
        <v>470</v>
      </c>
    </row>
    <row r="180" spans="1:4" ht="15.6" x14ac:dyDescent="0.3">
      <c r="A180" s="6" t="s">
        <v>172</v>
      </c>
      <c r="B180" s="7" t="e">
        <f>VLOOKUP(#REF!,[1]Sheet2!$A$1:$J$125,7,TRUE)</f>
        <v>#REF!</v>
      </c>
      <c r="C180" s="7" t="e">
        <f>VLOOKUP(#REF!,[1]Sheet2!$A$1:$J$125,8,TRUE)</f>
        <v>#REF!</v>
      </c>
      <c r="D180" s="14" t="s">
        <v>470</v>
      </c>
    </row>
    <row r="181" spans="1:4" ht="15.6" x14ac:dyDescent="0.3">
      <c r="A181" s="6" t="s">
        <v>173</v>
      </c>
      <c r="B181" s="7" t="e">
        <f>VLOOKUP(#REF!,[1]Sheet2!$A$1:$J$125,7,TRUE)</f>
        <v>#REF!</v>
      </c>
      <c r="C181" s="7" t="e">
        <f>VLOOKUP(#REF!,[1]Sheet2!$A$1:$J$125,8,TRUE)</f>
        <v>#REF!</v>
      </c>
      <c r="D181" s="14" t="s">
        <v>470</v>
      </c>
    </row>
    <row r="182" spans="1:4" ht="15.6" x14ac:dyDescent="0.3">
      <c r="A182" s="6" t="s">
        <v>174</v>
      </c>
      <c r="B182" s="7" t="e">
        <f>VLOOKUP(#REF!,[1]Sheet2!$A$1:$J$125,7,TRUE)</f>
        <v>#REF!</v>
      </c>
      <c r="C182" s="7" t="e">
        <f>VLOOKUP(#REF!,[1]Sheet2!$A$1:$J$125,8,TRUE)</f>
        <v>#REF!</v>
      </c>
      <c r="D182" s="14" t="s">
        <v>470</v>
      </c>
    </row>
    <row r="183" spans="1:4" ht="15.6" x14ac:dyDescent="0.3">
      <c r="A183" s="6" t="s">
        <v>175</v>
      </c>
      <c r="B183" s="7" t="e">
        <f>VLOOKUP(#REF!,[1]Sheet2!$A$1:$J$125,7,TRUE)</f>
        <v>#REF!</v>
      </c>
      <c r="C183" s="7" t="e">
        <f>VLOOKUP(#REF!,[1]Sheet2!$A$1:$J$125,8,TRUE)</f>
        <v>#REF!</v>
      </c>
      <c r="D183" s="14" t="s">
        <v>470</v>
      </c>
    </row>
    <row r="184" spans="1:4" ht="15.6" x14ac:dyDescent="0.3">
      <c r="A184" s="6" t="s">
        <v>176</v>
      </c>
      <c r="B184" s="7" t="e">
        <f>VLOOKUP(#REF!,[1]Sheet2!$A$1:$J$125,7,TRUE)</f>
        <v>#REF!</v>
      </c>
      <c r="C184" s="7" t="e">
        <f>VLOOKUP(#REF!,[1]Sheet2!$A$1:$J$125,8,TRUE)</f>
        <v>#REF!</v>
      </c>
      <c r="D184" s="14" t="s">
        <v>470</v>
      </c>
    </row>
    <row r="185" spans="1:4" ht="15.6" x14ac:dyDescent="0.3">
      <c r="A185" s="6" t="s">
        <v>177</v>
      </c>
      <c r="B185" s="7" t="e">
        <f>VLOOKUP(#REF!,[1]Sheet2!$A$1:$J$125,7,TRUE)</f>
        <v>#REF!</v>
      </c>
      <c r="C185" s="7" t="e">
        <f>VLOOKUP(#REF!,[1]Sheet2!$A$1:$J$125,8,TRUE)</f>
        <v>#REF!</v>
      </c>
      <c r="D185" s="14" t="s">
        <v>470</v>
      </c>
    </row>
    <row r="186" spans="1:4" ht="15.6" x14ac:dyDescent="0.3">
      <c r="A186" s="6" t="s">
        <v>178</v>
      </c>
      <c r="B186" s="7" t="e">
        <f>VLOOKUP(#REF!,[1]Sheet2!$A$1:$J$125,7,TRUE)</f>
        <v>#REF!</v>
      </c>
      <c r="C186" s="7" t="e">
        <f>VLOOKUP(#REF!,[1]Sheet2!$A$1:$J$125,8,TRUE)</f>
        <v>#REF!</v>
      </c>
      <c r="D186" s="14" t="s">
        <v>470</v>
      </c>
    </row>
    <row r="187" spans="1:4" ht="15.6" x14ac:dyDescent="0.3">
      <c r="A187" s="6" t="s">
        <v>179</v>
      </c>
      <c r="B187" s="7" t="e">
        <f>VLOOKUP(#REF!,[1]Sheet2!$A$1:$J$125,7,TRUE)</f>
        <v>#REF!</v>
      </c>
      <c r="C187" s="7" t="e">
        <f>VLOOKUP(#REF!,[1]Sheet2!$A$1:$J$125,8,TRUE)</f>
        <v>#REF!</v>
      </c>
      <c r="D187" s="14" t="s">
        <v>470</v>
      </c>
    </row>
    <row r="188" spans="1:4" ht="15.6" x14ac:dyDescent="0.3">
      <c r="A188" s="6" t="s">
        <v>180</v>
      </c>
      <c r="B188" s="7" t="e">
        <f>VLOOKUP(#REF!,[1]Sheet2!$A$1:$J$125,7,TRUE)</f>
        <v>#REF!</v>
      </c>
      <c r="C188" s="7" t="e">
        <f>VLOOKUP(#REF!,[1]Sheet2!$A$1:$J$125,8,TRUE)</f>
        <v>#REF!</v>
      </c>
      <c r="D188" s="14" t="s">
        <v>470</v>
      </c>
    </row>
    <row r="189" spans="1:4" ht="15.6" x14ac:dyDescent="0.3">
      <c r="A189" s="6" t="s">
        <v>181</v>
      </c>
      <c r="B189" s="7" t="e">
        <f>VLOOKUP(#REF!,[1]Sheet2!$A$1:$J$125,7,TRUE)</f>
        <v>#REF!</v>
      </c>
      <c r="C189" s="7" t="e">
        <f>VLOOKUP(#REF!,[1]Sheet2!$A$1:$J$125,8,TRUE)</f>
        <v>#REF!</v>
      </c>
      <c r="D189" s="14" t="s">
        <v>470</v>
      </c>
    </row>
    <row r="190" spans="1:4" ht="15.6" x14ac:dyDescent="0.3">
      <c r="A190" s="6" t="s">
        <v>182</v>
      </c>
      <c r="B190" s="7" t="e">
        <f>VLOOKUP(#REF!,[1]Sheet2!$A$1:$J$125,7,TRUE)</f>
        <v>#REF!</v>
      </c>
      <c r="C190" s="7" t="e">
        <f>VLOOKUP(#REF!,[1]Sheet2!$A$1:$J$125,8,TRUE)</f>
        <v>#REF!</v>
      </c>
      <c r="D190" s="14" t="s">
        <v>470</v>
      </c>
    </row>
    <row r="191" spans="1:4" ht="15.6" x14ac:dyDescent="0.3">
      <c r="A191" s="6" t="s">
        <v>183</v>
      </c>
      <c r="B191" s="7" t="e">
        <f>VLOOKUP(#REF!,[1]Sheet2!$A$1:$J$125,7,TRUE)</f>
        <v>#REF!</v>
      </c>
      <c r="C191" s="7" t="e">
        <f>VLOOKUP(#REF!,[1]Sheet2!$A$1:$J$125,8,TRUE)</f>
        <v>#REF!</v>
      </c>
      <c r="D191" s="14" t="s">
        <v>470</v>
      </c>
    </row>
    <row r="192" spans="1:4" ht="15.6" x14ac:dyDescent="0.3">
      <c r="A192" s="6" t="s">
        <v>184</v>
      </c>
      <c r="B192" s="7" t="e">
        <f>VLOOKUP(#REF!,[1]Sheet2!$A$1:$J$125,7,TRUE)</f>
        <v>#REF!</v>
      </c>
      <c r="C192" s="7" t="e">
        <f>VLOOKUP(#REF!,[1]Sheet2!$A$1:$J$125,8,TRUE)</f>
        <v>#REF!</v>
      </c>
      <c r="D192" s="14" t="s">
        <v>470</v>
      </c>
    </row>
    <row r="193" spans="1:4" ht="15.6" x14ac:dyDescent="0.3">
      <c r="A193" s="6" t="s">
        <v>185</v>
      </c>
      <c r="B193" s="7" t="e">
        <f>VLOOKUP(#REF!,[1]Sheet2!$A$1:$J$125,7,TRUE)</f>
        <v>#REF!</v>
      </c>
      <c r="C193" s="7" t="e">
        <f>VLOOKUP(#REF!,[1]Sheet2!$A$1:$J$125,8,TRUE)</f>
        <v>#REF!</v>
      </c>
      <c r="D193" s="14" t="s">
        <v>470</v>
      </c>
    </row>
    <row r="194" spans="1:4" ht="15.6" x14ac:dyDescent="0.3">
      <c r="A194" s="6" t="s">
        <v>164</v>
      </c>
      <c r="B194" s="7" t="e">
        <f>VLOOKUP(#REF!,[1]Sheet2!$A$1:$J$125,7,TRUE)</f>
        <v>#REF!</v>
      </c>
      <c r="C194" s="7" t="e">
        <f>VLOOKUP(#REF!,[1]Sheet2!$A$1:$J$125,8,TRUE)</f>
        <v>#REF!</v>
      </c>
      <c r="D194" s="14" t="s">
        <v>470</v>
      </c>
    </row>
    <row r="195" spans="1:4" ht="15.6" x14ac:dyDescent="0.3">
      <c r="A195" s="6" t="s">
        <v>186</v>
      </c>
      <c r="B195" s="7" t="e">
        <f>VLOOKUP(#REF!,[1]Sheet2!$A$1:$J$125,7,TRUE)</f>
        <v>#REF!</v>
      </c>
      <c r="C195" s="7" t="e">
        <f>VLOOKUP(#REF!,[1]Sheet2!$A$1:$J$125,8,TRUE)</f>
        <v>#REF!</v>
      </c>
      <c r="D195" s="14" t="s">
        <v>470</v>
      </c>
    </row>
    <row r="196" spans="1:4" ht="15.6" x14ac:dyDescent="0.3">
      <c r="A196" s="6" t="s">
        <v>187</v>
      </c>
      <c r="B196" s="7" t="e">
        <f>VLOOKUP(#REF!,[1]Sheet2!$A$1:$J$125,7,TRUE)</f>
        <v>#REF!</v>
      </c>
      <c r="C196" s="7" t="e">
        <f>VLOOKUP(#REF!,[1]Sheet2!$A$1:$J$125,8,TRUE)</f>
        <v>#REF!</v>
      </c>
      <c r="D196" s="14" t="s">
        <v>470</v>
      </c>
    </row>
    <row r="197" spans="1:4" ht="15.6" x14ac:dyDescent="0.3">
      <c r="A197" s="6" t="s">
        <v>188</v>
      </c>
      <c r="B197" s="7" t="e">
        <f>VLOOKUP(#REF!,[1]Sheet2!$A$1:$J$125,7,TRUE)</f>
        <v>#REF!</v>
      </c>
      <c r="C197" s="7" t="e">
        <f>VLOOKUP(#REF!,[1]Sheet2!$A$1:$J$125,8,TRUE)</f>
        <v>#REF!</v>
      </c>
      <c r="D197" s="14" t="s">
        <v>470</v>
      </c>
    </row>
    <row r="198" spans="1:4" ht="15.6" x14ac:dyDescent="0.3">
      <c r="A198" s="6" t="s">
        <v>189</v>
      </c>
      <c r="B198" s="7" t="e">
        <f>VLOOKUP(#REF!,[1]Sheet2!$A$1:$J$125,7,TRUE)</f>
        <v>#REF!</v>
      </c>
      <c r="C198" s="7" t="e">
        <f>VLOOKUP(#REF!,[1]Sheet2!$A$1:$J$125,8,TRUE)</f>
        <v>#REF!</v>
      </c>
      <c r="D198" s="14" t="s">
        <v>470</v>
      </c>
    </row>
    <row r="199" spans="1:4" ht="15.6" x14ac:dyDescent="0.3">
      <c r="A199" s="6" t="s">
        <v>190</v>
      </c>
      <c r="B199" s="7" t="e">
        <f>VLOOKUP(#REF!,[1]Sheet2!$A$1:$J$125,7,TRUE)</f>
        <v>#REF!</v>
      </c>
      <c r="C199" s="7" t="e">
        <f>VLOOKUP(#REF!,[1]Sheet2!$A$1:$J$125,8,TRUE)</f>
        <v>#REF!</v>
      </c>
      <c r="D199" s="14" t="s">
        <v>470</v>
      </c>
    </row>
    <row r="200" spans="1:4" ht="15.6" x14ac:dyDescent="0.3">
      <c r="A200" s="6" t="s">
        <v>191</v>
      </c>
      <c r="B200" s="7" t="e">
        <f>VLOOKUP(#REF!,[1]Sheet2!$A$1:$J$125,7,TRUE)</f>
        <v>#REF!</v>
      </c>
      <c r="C200" s="7" t="e">
        <f>VLOOKUP(#REF!,[1]Sheet2!$A$1:$J$125,8,TRUE)</f>
        <v>#REF!</v>
      </c>
      <c r="D200" s="14" t="s">
        <v>470</v>
      </c>
    </row>
    <row r="201" spans="1:4" ht="15.6" x14ac:dyDescent="0.3">
      <c r="A201" s="6" t="s">
        <v>192</v>
      </c>
      <c r="B201" s="7" t="e">
        <f>VLOOKUP(#REF!,[1]Sheet2!$A$1:$J$125,7,TRUE)</f>
        <v>#REF!</v>
      </c>
      <c r="C201" s="7" t="e">
        <f>VLOOKUP(#REF!,[1]Sheet2!$A$1:$J$125,8,TRUE)</f>
        <v>#REF!</v>
      </c>
      <c r="D201" s="14" t="s">
        <v>470</v>
      </c>
    </row>
    <row r="202" spans="1:4" ht="15.6" x14ac:dyDescent="0.3">
      <c r="A202" s="6" t="s">
        <v>193</v>
      </c>
      <c r="B202" s="7" t="e">
        <f>VLOOKUP(#REF!,[1]Sheet2!$A$1:$J$125,7,TRUE)</f>
        <v>#REF!</v>
      </c>
      <c r="C202" s="7" t="e">
        <f>VLOOKUP(#REF!,[1]Sheet2!$A$1:$J$125,8,TRUE)</f>
        <v>#REF!</v>
      </c>
      <c r="D202" s="14" t="s">
        <v>470</v>
      </c>
    </row>
    <row r="203" spans="1:4" ht="15.6" x14ac:dyDescent="0.3">
      <c r="A203" s="6" t="s">
        <v>194</v>
      </c>
      <c r="B203" s="7" t="e">
        <f>VLOOKUP(#REF!,[1]Sheet2!$A$1:$J$125,7,TRUE)</f>
        <v>#REF!</v>
      </c>
      <c r="C203" s="7" t="e">
        <f>VLOOKUP(#REF!,[1]Sheet2!$A$1:$J$125,8,TRUE)</f>
        <v>#REF!</v>
      </c>
      <c r="D203" s="14" t="s">
        <v>470</v>
      </c>
    </row>
    <row r="204" spans="1:4" ht="15.6" x14ac:dyDescent="0.3">
      <c r="A204" s="6" t="s">
        <v>195</v>
      </c>
      <c r="B204" s="7" t="e">
        <f>VLOOKUP(#REF!,[1]Sheet2!$A$1:$J$125,7,TRUE)</f>
        <v>#REF!</v>
      </c>
      <c r="C204" s="7" t="e">
        <f>VLOOKUP(#REF!,[1]Sheet2!$A$1:$J$125,8,TRUE)</f>
        <v>#REF!</v>
      </c>
      <c r="D204" s="14" t="s">
        <v>470</v>
      </c>
    </row>
    <row r="205" spans="1:4" ht="15.6" x14ac:dyDescent="0.3">
      <c r="A205" s="6" t="s">
        <v>196</v>
      </c>
      <c r="B205" s="7" t="e">
        <f>VLOOKUP(#REF!,[1]Sheet2!$A$1:$J$125,7,TRUE)</f>
        <v>#REF!</v>
      </c>
      <c r="C205" s="7" t="e">
        <f>VLOOKUP(#REF!,[1]Sheet2!$A$1:$J$125,8,TRUE)</f>
        <v>#REF!</v>
      </c>
      <c r="D205" s="14" t="s">
        <v>470</v>
      </c>
    </row>
    <row r="206" spans="1:4" ht="15.6" x14ac:dyDescent="0.3">
      <c r="A206" s="6" t="s">
        <v>197</v>
      </c>
      <c r="B206" s="7" t="e">
        <f>VLOOKUP(#REF!,[1]Sheet2!$A$1:$J$125,7,TRUE)</f>
        <v>#REF!</v>
      </c>
      <c r="C206" s="7" t="e">
        <f>VLOOKUP(#REF!,[1]Sheet2!$A$1:$J$125,8,TRUE)</f>
        <v>#REF!</v>
      </c>
      <c r="D206" s="14" t="s">
        <v>470</v>
      </c>
    </row>
    <row r="207" spans="1:4" ht="15.6" x14ac:dyDescent="0.3">
      <c r="A207" s="6" t="s">
        <v>198</v>
      </c>
      <c r="B207" s="7" t="e">
        <f>VLOOKUP(#REF!,[1]Sheet2!$A$1:$J$125,7,TRUE)</f>
        <v>#REF!</v>
      </c>
      <c r="C207" s="7" t="e">
        <f>VLOOKUP(#REF!,[1]Sheet2!$A$1:$J$125,8,TRUE)</f>
        <v>#REF!</v>
      </c>
      <c r="D207" s="14" t="s">
        <v>470</v>
      </c>
    </row>
    <row r="208" spans="1:4" ht="15.6" x14ac:dyDescent="0.3">
      <c r="A208" s="6" t="s">
        <v>199</v>
      </c>
      <c r="B208" s="7" t="e">
        <f>VLOOKUP(#REF!,[1]Sheet2!$A$1:$J$125,7,TRUE)</f>
        <v>#REF!</v>
      </c>
      <c r="C208" s="7" t="e">
        <f>VLOOKUP(#REF!,[1]Sheet2!$A$1:$J$125,8,TRUE)</f>
        <v>#REF!</v>
      </c>
      <c r="D208" s="14" t="s">
        <v>470</v>
      </c>
    </row>
    <row r="209" spans="1:4" ht="15.6" x14ac:dyDescent="0.3">
      <c r="A209" s="6" t="s">
        <v>200</v>
      </c>
      <c r="B209" s="7" t="e">
        <f>VLOOKUP(#REF!,[1]Sheet2!$A$1:$J$125,7,TRUE)</f>
        <v>#REF!</v>
      </c>
      <c r="C209" s="7" t="e">
        <f>VLOOKUP(#REF!,[1]Sheet2!$A$1:$J$125,8,TRUE)</f>
        <v>#REF!</v>
      </c>
      <c r="D209" s="14" t="s">
        <v>470</v>
      </c>
    </row>
    <row r="210" spans="1:4" ht="15.6" x14ac:dyDescent="0.3">
      <c r="A210" s="6" t="s">
        <v>201</v>
      </c>
      <c r="B210" s="7" t="e">
        <f>VLOOKUP(#REF!,[1]Sheet2!$A$1:$J$125,7,TRUE)</f>
        <v>#REF!</v>
      </c>
      <c r="C210" s="7" t="e">
        <f>VLOOKUP(#REF!,[1]Sheet2!$A$1:$J$125,8,TRUE)</f>
        <v>#REF!</v>
      </c>
      <c r="D210" s="14" t="s">
        <v>470</v>
      </c>
    </row>
    <row r="211" spans="1:4" ht="15.6" x14ac:dyDescent="0.3">
      <c r="A211" s="6" t="s">
        <v>202</v>
      </c>
      <c r="B211" s="7" t="e">
        <f>VLOOKUP(#REF!,[1]Sheet2!$A$1:$J$125,7,TRUE)</f>
        <v>#REF!</v>
      </c>
      <c r="C211" s="7" t="e">
        <f>VLOOKUP(#REF!,[1]Sheet2!$A$1:$J$125,8,TRUE)</f>
        <v>#REF!</v>
      </c>
      <c r="D211" s="14" t="s">
        <v>470</v>
      </c>
    </row>
    <row r="212" spans="1:4" ht="15.6" x14ac:dyDescent="0.3">
      <c r="A212" s="6" t="s">
        <v>203</v>
      </c>
      <c r="B212" s="7" t="e">
        <f>VLOOKUP(#REF!,[1]Sheet2!$A$1:$J$125,7,TRUE)</f>
        <v>#REF!</v>
      </c>
      <c r="C212" s="7" t="e">
        <f>VLOOKUP(#REF!,[1]Sheet2!$A$1:$J$125,8,TRUE)</f>
        <v>#REF!</v>
      </c>
      <c r="D212" s="14" t="s">
        <v>470</v>
      </c>
    </row>
    <row r="213" spans="1:4" ht="15.6" x14ac:dyDescent="0.3">
      <c r="A213" s="6" t="s">
        <v>203</v>
      </c>
      <c r="B213" s="7" t="e">
        <f>VLOOKUP(#REF!,[1]Sheet2!$A$1:$J$125,7,TRUE)</f>
        <v>#REF!</v>
      </c>
      <c r="C213" s="7" t="e">
        <f>VLOOKUP(#REF!,[1]Sheet2!$A$1:$J$125,8,TRUE)</f>
        <v>#REF!</v>
      </c>
      <c r="D213" s="14" t="s">
        <v>470</v>
      </c>
    </row>
    <row r="214" spans="1:4" ht="15.6" x14ac:dyDescent="0.3">
      <c r="A214" s="6" t="s">
        <v>204</v>
      </c>
      <c r="B214" s="7" t="e">
        <f>VLOOKUP(#REF!,[1]Sheet2!$A$1:$J$125,7,TRUE)</f>
        <v>#REF!</v>
      </c>
      <c r="C214" s="7" t="e">
        <f>VLOOKUP(#REF!,[1]Sheet2!$A$1:$J$125,8,TRUE)</f>
        <v>#REF!</v>
      </c>
      <c r="D214" s="14" t="s">
        <v>470</v>
      </c>
    </row>
    <row r="215" spans="1:4" ht="15.6" x14ac:dyDescent="0.3">
      <c r="A215" s="6" t="s">
        <v>205</v>
      </c>
      <c r="B215" s="7" t="e">
        <f>VLOOKUP(#REF!,[1]Sheet2!$A$1:$J$125,7,TRUE)</f>
        <v>#REF!</v>
      </c>
      <c r="C215" s="7" t="e">
        <f>VLOOKUP(#REF!,[1]Sheet2!$A$1:$J$125,8,TRUE)</f>
        <v>#REF!</v>
      </c>
      <c r="D215" s="14" t="s">
        <v>470</v>
      </c>
    </row>
    <row r="216" spans="1:4" ht="15.6" x14ac:dyDescent="0.3">
      <c r="A216" s="6" t="s">
        <v>206</v>
      </c>
      <c r="B216" s="7" t="e">
        <f>VLOOKUP(#REF!,[1]Sheet2!$A$1:$J$125,7,TRUE)</f>
        <v>#REF!</v>
      </c>
      <c r="C216" s="7" t="e">
        <f>VLOOKUP(#REF!,[1]Sheet2!$A$1:$J$125,8,TRUE)</f>
        <v>#REF!</v>
      </c>
      <c r="D216" s="14" t="s">
        <v>470</v>
      </c>
    </row>
    <row r="217" spans="1:4" ht="15.6" x14ac:dyDescent="0.3">
      <c r="A217" s="6" t="s">
        <v>207</v>
      </c>
      <c r="B217" s="7" t="e">
        <f>VLOOKUP(#REF!,[1]Sheet2!$A$1:$J$125,7,TRUE)</f>
        <v>#REF!</v>
      </c>
      <c r="C217" s="7" t="e">
        <f>VLOOKUP(#REF!,[1]Sheet2!$A$1:$J$125,8,TRUE)</f>
        <v>#REF!</v>
      </c>
      <c r="D217" s="14" t="s">
        <v>470</v>
      </c>
    </row>
    <row r="218" spans="1:4" ht="15.6" x14ac:dyDescent="0.3">
      <c r="A218" s="6" t="s">
        <v>208</v>
      </c>
      <c r="B218" s="7" t="e">
        <f>VLOOKUP(#REF!,[1]Sheet2!$A$1:$J$125,7,TRUE)</f>
        <v>#REF!</v>
      </c>
      <c r="C218" s="7" t="e">
        <f>VLOOKUP(#REF!,[1]Sheet2!$A$1:$J$125,8,TRUE)</f>
        <v>#REF!</v>
      </c>
      <c r="D218" s="14" t="s">
        <v>470</v>
      </c>
    </row>
    <row r="219" spans="1:4" ht="15.6" x14ac:dyDescent="0.3">
      <c r="A219" s="6" t="s">
        <v>209</v>
      </c>
      <c r="B219" s="7" t="e">
        <f>VLOOKUP(#REF!,[1]Sheet2!$A$1:$J$125,7,TRUE)</f>
        <v>#REF!</v>
      </c>
      <c r="C219" s="7" t="e">
        <f>VLOOKUP(#REF!,[1]Sheet2!$A$1:$J$125,8,TRUE)</f>
        <v>#REF!</v>
      </c>
      <c r="D219" s="14" t="s">
        <v>470</v>
      </c>
    </row>
    <row r="220" spans="1:4" ht="15.6" x14ac:dyDescent="0.3">
      <c r="A220" s="6" t="s">
        <v>210</v>
      </c>
      <c r="B220" s="7" t="e">
        <f>VLOOKUP(#REF!,[1]Sheet2!$A$1:$J$125,7,TRUE)</f>
        <v>#REF!</v>
      </c>
      <c r="C220" s="7" t="e">
        <f>VLOOKUP(#REF!,[1]Sheet2!$A$1:$J$125,8,TRUE)</f>
        <v>#REF!</v>
      </c>
      <c r="D220" s="14" t="s">
        <v>470</v>
      </c>
    </row>
    <row r="221" spans="1:4" ht="15.6" x14ac:dyDescent="0.3">
      <c r="A221" s="6" t="s">
        <v>211</v>
      </c>
      <c r="B221" s="7" t="e">
        <f>VLOOKUP(#REF!,[1]Sheet2!$A$1:$J$125,7,TRUE)</f>
        <v>#REF!</v>
      </c>
      <c r="C221" s="7" t="e">
        <f>VLOOKUP(#REF!,[1]Sheet2!$A$1:$J$125,8,TRUE)</f>
        <v>#REF!</v>
      </c>
      <c r="D221" s="14" t="s">
        <v>470</v>
      </c>
    </row>
    <row r="222" spans="1:4" ht="15.6" x14ac:dyDescent="0.3">
      <c r="A222" s="6" t="s">
        <v>212</v>
      </c>
      <c r="B222" s="7" t="e">
        <f>VLOOKUP(#REF!,[1]Sheet2!$A$1:$J$125,7,TRUE)</f>
        <v>#REF!</v>
      </c>
      <c r="C222" s="7" t="e">
        <f>VLOOKUP(#REF!,[1]Sheet2!$A$1:$J$125,8,TRUE)</f>
        <v>#REF!</v>
      </c>
      <c r="D222" s="14" t="s">
        <v>470</v>
      </c>
    </row>
    <row r="223" spans="1:4" ht="15.6" x14ac:dyDescent="0.3">
      <c r="A223" s="6" t="s">
        <v>213</v>
      </c>
      <c r="B223" s="7" t="e">
        <f>VLOOKUP(#REF!,[1]Sheet2!$A$1:$J$125,7,TRUE)</f>
        <v>#REF!</v>
      </c>
      <c r="C223" s="7" t="e">
        <f>VLOOKUP(#REF!,[1]Sheet2!$A$1:$J$125,8,TRUE)</f>
        <v>#REF!</v>
      </c>
      <c r="D223" s="14" t="s">
        <v>470</v>
      </c>
    </row>
    <row r="224" spans="1:4" ht="15.6" x14ac:dyDescent="0.3">
      <c r="A224" s="6" t="s">
        <v>214</v>
      </c>
      <c r="B224" s="7" t="e">
        <f>VLOOKUP(#REF!,[1]Sheet2!$A$1:$J$125,7,TRUE)</f>
        <v>#REF!</v>
      </c>
      <c r="C224" s="7" t="e">
        <f>VLOOKUP(#REF!,[1]Sheet2!$A$1:$J$125,8,TRUE)</f>
        <v>#REF!</v>
      </c>
      <c r="D224" s="14" t="s">
        <v>470</v>
      </c>
    </row>
    <row r="225" spans="1:4" ht="15.6" x14ac:dyDescent="0.3">
      <c r="A225" s="6" t="s">
        <v>215</v>
      </c>
      <c r="B225" s="7" t="e">
        <f>VLOOKUP(#REF!,[1]Sheet2!$A$1:$J$125,7,TRUE)</f>
        <v>#REF!</v>
      </c>
      <c r="C225" s="7" t="e">
        <f>VLOOKUP(#REF!,[1]Sheet2!$A$1:$J$125,8,TRUE)</f>
        <v>#REF!</v>
      </c>
      <c r="D225" s="14" t="s">
        <v>470</v>
      </c>
    </row>
    <row r="226" spans="1:4" ht="15.6" x14ac:dyDescent="0.3">
      <c r="A226" s="8" t="s">
        <v>216</v>
      </c>
      <c r="B226" s="7" t="e">
        <f>VLOOKUP(#REF!,[1]Sheet2!$A$1:$J$125,7,TRUE)</f>
        <v>#REF!</v>
      </c>
      <c r="C226" s="7" t="e">
        <f>VLOOKUP(#REF!,[1]Sheet2!$A$1:$J$125,8,TRUE)</f>
        <v>#REF!</v>
      </c>
      <c r="D226" s="14" t="s">
        <v>470</v>
      </c>
    </row>
    <row r="227" spans="1:4" ht="15.6" x14ac:dyDescent="0.3">
      <c r="A227" s="6" t="s">
        <v>217</v>
      </c>
      <c r="B227" s="7" t="e">
        <f>VLOOKUP(#REF!,[1]Sheet2!$A$1:$J$125,7,TRUE)</f>
        <v>#REF!</v>
      </c>
      <c r="C227" s="7" t="e">
        <f>VLOOKUP(#REF!,[1]Sheet2!$A$1:$J$125,8,TRUE)</f>
        <v>#REF!</v>
      </c>
      <c r="D227" s="14" t="s">
        <v>470</v>
      </c>
    </row>
    <row r="228" spans="1:4" ht="15.6" x14ac:dyDescent="0.3">
      <c r="A228" s="7"/>
      <c r="B228" s="7"/>
      <c r="C228" s="7"/>
      <c r="D228" s="14"/>
    </row>
    <row r="229" spans="1:4" ht="15.6" x14ac:dyDescent="0.3">
      <c r="A229" s="6" t="s">
        <v>218</v>
      </c>
      <c r="B229" s="7" t="e">
        <f>VLOOKUP(#REF!,[2]Sheet2!$A$1:$I$134,7,TRUE)</f>
        <v>#REF!</v>
      </c>
      <c r="C229" s="7" t="e">
        <f>VLOOKUP(#REF!,[2]Sheet2!$A$1:$I$134,8,TRUE)</f>
        <v>#REF!</v>
      </c>
      <c r="D229" s="14" t="s">
        <v>468</v>
      </c>
    </row>
    <row r="230" spans="1:4" ht="15.6" x14ac:dyDescent="0.3">
      <c r="A230" s="6" t="s">
        <v>219</v>
      </c>
      <c r="B230" s="7" t="e">
        <f>VLOOKUP(#REF!,[2]Sheet2!$A$1:$I$134,7,TRUE)</f>
        <v>#REF!</v>
      </c>
      <c r="C230" s="7" t="e">
        <f>VLOOKUP(#REF!,[2]Sheet2!$A$1:$I$134,8,TRUE)</f>
        <v>#REF!</v>
      </c>
      <c r="D230" s="14" t="s">
        <v>468</v>
      </c>
    </row>
    <row r="231" spans="1:4" ht="15.6" x14ac:dyDescent="0.3">
      <c r="A231" s="6" t="s">
        <v>220</v>
      </c>
      <c r="B231" s="7" t="e">
        <f>VLOOKUP(#REF!,[2]Sheet2!$A$1:$I$134,7,TRUE)</f>
        <v>#REF!</v>
      </c>
      <c r="C231" s="7" t="e">
        <f>VLOOKUP(#REF!,[2]Sheet2!$A$1:$I$134,8,TRUE)</f>
        <v>#REF!</v>
      </c>
      <c r="D231" s="14" t="s">
        <v>468</v>
      </c>
    </row>
    <row r="232" spans="1:4" ht="15.6" x14ac:dyDescent="0.3">
      <c r="A232" s="6" t="s">
        <v>221</v>
      </c>
      <c r="B232" s="7" t="e">
        <f>VLOOKUP(#REF!,[2]Sheet2!$A$1:$I$134,7,TRUE)</f>
        <v>#REF!</v>
      </c>
      <c r="C232" s="7" t="e">
        <f>VLOOKUP(#REF!,[2]Sheet2!$A$1:$I$134,8,TRUE)</f>
        <v>#REF!</v>
      </c>
      <c r="D232" s="14" t="s">
        <v>468</v>
      </c>
    </row>
    <row r="233" spans="1:4" ht="15.6" x14ac:dyDescent="0.3">
      <c r="A233" s="6" t="s">
        <v>222</v>
      </c>
      <c r="B233" s="7" t="e">
        <f>VLOOKUP(#REF!,[2]Sheet2!$A$1:$I$134,7,TRUE)</f>
        <v>#REF!</v>
      </c>
      <c r="C233" s="7" t="e">
        <f>VLOOKUP(#REF!,[2]Sheet2!$A$1:$I$134,8,TRUE)</f>
        <v>#REF!</v>
      </c>
      <c r="D233" s="14" t="s">
        <v>468</v>
      </c>
    </row>
    <row r="234" spans="1:4" ht="15.6" x14ac:dyDescent="0.3">
      <c r="A234" s="6" t="s">
        <v>223</v>
      </c>
      <c r="B234" s="7" t="e">
        <f>VLOOKUP(#REF!,[2]Sheet2!$A$1:$I$134,7,TRUE)</f>
        <v>#REF!</v>
      </c>
      <c r="C234" s="7" t="e">
        <f>VLOOKUP(#REF!,[2]Sheet2!$A$1:$I$134,8,TRUE)</f>
        <v>#REF!</v>
      </c>
      <c r="D234" s="14" t="s">
        <v>468</v>
      </c>
    </row>
    <row r="235" spans="1:4" ht="15.6" x14ac:dyDescent="0.3">
      <c r="A235" s="6" t="s">
        <v>224</v>
      </c>
      <c r="B235" s="7" t="e">
        <f>VLOOKUP(#REF!,[2]Sheet2!$A$1:$I$134,7,TRUE)</f>
        <v>#REF!</v>
      </c>
      <c r="C235" s="7" t="e">
        <f>VLOOKUP(#REF!,[2]Sheet2!$A$1:$I$134,8,TRUE)</f>
        <v>#REF!</v>
      </c>
      <c r="D235" s="14" t="s">
        <v>468</v>
      </c>
    </row>
    <row r="236" spans="1:4" ht="15.6" x14ac:dyDescent="0.3">
      <c r="A236" s="6" t="s">
        <v>225</v>
      </c>
      <c r="B236" s="7" t="e">
        <f>VLOOKUP(#REF!,[2]Sheet2!$A$1:$I$134,7,TRUE)</f>
        <v>#REF!</v>
      </c>
      <c r="C236" s="7" t="e">
        <f>VLOOKUP(#REF!,[2]Sheet2!$A$1:$I$134,8,TRUE)</f>
        <v>#REF!</v>
      </c>
      <c r="D236" s="14" t="s">
        <v>468</v>
      </c>
    </row>
    <row r="237" spans="1:4" ht="15.6" x14ac:dyDescent="0.3">
      <c r="A237" s="6" t="s">
        <v>226</v>
      </c>
      <c r="B237" s="7" t="e">
        <f>VLOOKUP(#REF!,[2]Sheet2!$A$1:$I$134,7,TRUE)</f>
        <v>#REF!</v>
      </c>
      <c r="C237" s="7" t="e">
        <f>VLOOKUP(#REF!,[2]Sheet2!$A$1:$I$134,8,TRUE)</f>
        <v>#REF!</v>
      </c>
      <c r="D237" s="14" t="s">
        <v>468</v>
      </c>
    </row>
    <row r="238" spans="1:4" ht="15.6" x14ac:dyDescent="0.3">
      <c r="A238" s="6" t="s">
        <v>227</v>
      </c>
      <c r="B238" s="7" t="e">
        <f>VLOOKUP(#REF!,[2]Sheet2!$A$1:$I$134,7,TRUE)</f>
        <v>#REF!</v>
      </c>
      <c r="C238" s="7" t="e">
        <f>VLOOKUP(#REF!,[2]Sheet2!$A$1:$I$134,8,TRUE)</f>
        <v>#REF!</v>
      </c>
      <c r="D238" s="14" t="s">
        <v>468</v>
      </c>
    </row>
    <row r="239" spans="1:4" ht="15.6" x14ac:dyDescent="0.3">
      <c r="A239" s="6" t="s">
        <v>228</v>
      </c>
      <c r="B239" s="7" t="e">
        <f>VLOOKUP(#REF!,[2]Sheet2!$A$1:$I$134,7,TRUE)</f>
        <v>#REF!</v>
      </c>
      <c r="C239" s="7" t="e">
        <f>VLOOKUP(#REF!,[2]Sheet2!$A$1:$I$134,8,TRUE)</f>
        <v>#REF!</v>
      </c>
      <c r="D239" s="14" t="s">
        <v>468</v>
      </c>
    </row>
    <row r="240" spans="1:4" ht="15.6" x14ac:dyDescent="0.3">
      <c r="A240" s="6" t="s">
        <v>229</v>
      </c>
      <c r="B240" s="7" t="e">
        <f>VLOOKUP(#REF!,[2]Sheet2!$A$1:$I$134,7,TRUE)</f>
        <v>#REF!</v>
      </c>
      <c r="C240" s="7" t="e">
        <f>VLOOKUP(#REF!,[2]Sheet2!$A$1:$I$134,8,TRUE)</f>
        <v>#REF!</v>
      </c>
      <c r="D240" s="14" t="s">
        <v>468</v>
      </c>
    </row>
    <row r="241" spans="1:4" ht="15.6" x14ac:dyDescent="0.3">
      <c r="A241" s="6" t="s">
        <v>230</v>
      </c>
      <c r="B241" s="7" t="e">
        <f>VLOOKUP(#REF!,[2]Sheet2!$A$1:$I$134,7,TRUE)</f>
        <v>#REF!</v>
      </c>
      <c r="C241" s="7" t="e">
        <f>VLOOKUP(#REF!,[2]Sheet2!$A$1:$I$134,8,TRUE)</f>
        <v>#REF!</v>
      </c>
      <c r="D241" s="14" t="s">
        <v>468</v>
      </c>
    </row>
    <row r="242" spans="1:4" ht="15.6" x14ac:dyDescent="0.3">
      <c r="A242" s="6" t="s">
        <v>231</v>
      </c>
      <c r="B242" s="7" t="e">
        <f>VLOOKUP(#REF!,[2]Sheet2!$A$1:$I$134,7,TRUE)</f>
        <v>#REF!</v>
      </c>
      <c r="C242" s="7" t="e">
        <f>VLOOKUP(#REF!,[2]Sheet2!$A$1:$I$134,8,TRUE)</f>
        <v>#REF!</v>
      </c>
      <c r="D242" s="14" t="s">
        <v>468</v>
      </c>
    </row>
    <row r="243" spans="1:4" ht="15.6" x14ac:dyDescent="0.3">
      <c r="A243" s="6" t="s">
        <v>232</v>
      </c>
      <c r="B243" s="7" t="e">
        <f>VLOOKUP(#REF!,[2]Sheet2!$A$1:$I$134,7,TRUE)</f>
        <v>#REF!</v>
      </c>
      <c r="C243" s="7" t="e">
        <f>VLOOKUP(#REF!,[2]Sheet2!$A$1:$I$134,8,TRUE)</f>
        <v>#REF!</v>
      </c>
      <c r="D243" s="14" t="s">
        <v>468</v>
      </c>
    </row>
    <row r="244" spans="1:4" ht="15.6" x14ac:dyDescent="0.3">
      <c r="A244" s="6" t="s">
        <v>233</v>
      </c>
      <c r="B244" s="7" t="e">
        <f>VLOOKUP(#REF!,[2]Sheet2!$A$1:$I$134,7,TRUE)</f>
        <v>#REF!</v>
      </c>
      <c r="C244" s="7" t="e">
        <f>VLOOKUP(#REF!,[2]Sheet2!$A$1:$I$134,8,TRUE)</f>
        <v>#REF!</v>
      </c>
      <c r="D244" s="14" t="s">
        <v>468</v>
      </c>
    </row>
    <row r="245" spans="1:4" ht="15.6" x14ac:dyDescent="0.3">
      <c r="A245" s="6" t="s">
        <v>234</v>
      </c>
      <c r="B245" s="7" t="e">
        <f>VLOOKUP(#REF!,[2]Sheet2!$A$1:$I$134,7,TRUE)</f>
        <v>#REF!</v>
      </c>
      <c r="C245" s="7" t="e">
        <f>VLOOKUP(#REF!,[2]Sheet2!$A$1:$I$134,8,TRUE)</f>
        <v>#REF!</v>
      </c>
      <c r="D245" s="14" t="s">
        <v>468</v>
      </c>
    </row>
    <row r="246" spans="1:4" ht="15.6" x14ac:dyDescent="0.3">
      <c r="A246" s="6" t="s">
        <v>235</v>
      </c>
      <c r="B246" s="7" t="e">
        <f>VLOOKUP(#REF!,[2]Sheet2!$A$1:$I$134,7,TRUE)</f>
        <v>#REF!</v>
      </c>
      <c r="C246" s="7" t="e">
        <f>VLOOKUP(#REF!,[2]Sheet2!$A$1:$I$134,8,TRUE)</f>
        <v>#REF!</v>
      </c>
      <c r="D246" s="14" t="s">
        <v>468</v>
      </c>
    </row>
    <row r="247" spans="1:4" ht="15.6" x14ac:dyDescent="0.3">
      <c r="A247" s="6" t="s">
        <v>236</v>
      </c>
      <c r="B247" s="7" t="e">
        <f>VLOOKUP(#REF!,[2]Sheet2!$A$1:$I$134,7,TRUE)</f>
        <v>#REF!</v>
      </c>
      <c r="C247" s="7" t="e">
        <f>VLOOKUP(#REF!,[2]Sheet2!$A$1:$I$134,8,TRUE)</f>
        <v>#REF!</v>
      </c>
      <c r="D247" s="14" t="s">
        <v>468</v>
      </c>
    </row>
    <row r="248" spans="1:4" ht="15.6" x14ac:dyDescent="0.3">
      <c r="A248" s="6" t="s">
        <v>237</v>
      </c>
      <c r="B248" s="7" t="e">
        <f>VLOOKUP(#REF!,[2]Sheet2!$A$1:$I$134,7,TRUE)</f>
        <v>#REF!</v>
      </c>
      <c r="C248" s="7" t="e">
        <f>VLOOKUP(#REF!,[2]Sheet2!$A$1:$I$134,8,TRUE)</f>
        <v>#REF!</v>
      </c>
      <c r="D248" s="14" t="s">
        <v>468</v>
      </c>
    </row>
    <row r="249" spans="1:4" ht="15.6" x14ac:dyDescent="0.3">
      <c r="A249" s="6" t="s">
        <v>238</v>
      </c>
      <c r="B249" s="7" t="e">
        <f>VLOOKUP(#REF!,[2]Sheet2!$A$1:$I$134,7,TRUE)</f>
        <v>#REF!</v>
      </c>
      <c r="C249" s="7" t="e">
        <f>VLOOKUP(#REF!,[2]Sheet2!$A$1:$I$134,8,TRUE)</f>
        <v>#REF!</v>
      </c>
      <c r="D249" s="14" t="s">
        <v>468</v>
      </c>
    </row>
    <row r="250" spans="1:4" ht="15.6" x14ac:dyDescent="0.3">
      <c r="A250" s="6" t="s">
        <v>239</v>
      </c>
      <c r="B250" s="7" t="e">
        <f>VLOOKUP(#REF!,[2]Sheet2!$A$1:$I$134,7,TRUE)</f>
        <v>#REF!</v>
      </c>
      <c r="C250" s="7" t="e">
        <f>VLOOKUP(#REF!,[2]Sheet2!$A$1:$I$134,8,TRUE)</f>
        <v>#REF!</v>
      </c>
      <c r="D250" s="14" t="s">
        <v>468</v>
      </c>
    </row>
    <row r="251" spans="1:4" ht="15.6" x14ac:dyDescent="0.3">
      <c r="A251" s="6" t="s">
        <v>240</v>
      </c>
      <c r="B251" s="7" t="e">
        <f>VLOOKUP(#REF!,[2]Sheet2!$A$1:$I$134,7,TRUE)</f>
        <v>#REF!</v>
      </c>
      <c r="C251" s="7" t="e">
        <f>VLOOKUP(#REF!,[2]Sheet2!$A$1:$I$134,8,TRUE)</f>
        <v>#REF!</v>
      </c>
      <c r="D251" s="14" t="s">
        <v>468</v>
      </c>
    </row>
    <row r="252" spans="1:4" ht="15.6" x14ac:dyDescent="0.3">
      <c r="A252" s="6" t="s">
        <v>241</v>
      </c>
      <c r="B252" s="7" t="e">
        <f>VLOOKUP(#REF!,[2]Sheet2!$A$1:$I$134,7,TRUE)</f>
        <v>#REF!</v>
      </c>
      <c r="C252" s="7" t="e">
        <f>VLOOKUP(#REF!,[2]Sheet2!$A$1:$I$134,8,TRUE)</f>
        <v>#REF!</v>
      </c>
      <c r="D252" s="14" t="s">
        <v>468</v>
      </c>
    </row>
    <row r="253" spans="1:4" ht="15.6" x14ac:dyDescent="0.3">
      <c r="A253" s="6" t="s">
        <v>242</v>
      </c>
      <c r="B253" s="7" t="e">
        <f>VLOOKUP(#REF!,[2]Sheet2!$A$1:$I$134,7,TRUE)</f>
        <v>#REF!</v>
      </c>
      <c r="C253" s="7" t="e">
        <f>VLOOKUP(#REF!,[2]Sheet2!$A$1:$I$134,8,TRUE)</f>
        <v>#REF!</v>
      </c>
      <c r="D253" s="14" t="s">
        <v>468</v>
      </c>
    </row>
    <row r="254" spans="1:4" ht="15.6" x14ac:dyDescent="0.3">
      <c r="A254" s="6" t="s">
        <v>243</v>
      </c>
      <c r="B254" s="7" t="e">
        <f>VLOOKUP(#REF!,[2]Sheet2!$A$1:$I$134,7,TRUE)</f>
        <v>#REF!</v>
      </c>
      <c r="C254" s="7" t="e">
        <f>VLOOKUP(#REF!,[2]Sheet2!$A$1:$I$134,8,TRUE)</f>
        <v>#REF!</v>
      </c>
      <c r="D254" s="14" t="s">
        <v>468</v>
      </c>
    </row>
    <row r="255" spans="1:4" ht="15.6" x14ac:dyDescent="0.3">
      <c r="A255" s="6" t="s">
        <v>244</v>
      </c>
      <c r="B255" s="7" t="e">
        <f>VLOOKUP(#REF!,[2]Sheet2!$A$1:$I$134,7,TRUE)</f>
        <v>#REF!</v>
      </c>
      <c r="C255" s="7" t="e">
        <f>VLOOKUP(#REF!,[2]Sheet2!$A$1:$I$134,8,TRUE)</f>
        <v>#REF!</v>
      </c>
      <c r="D255" s="14" t="s">
        <v>468</v>
      </c>
    </row>
    <row r="256" spans="1:4" ht="15.6" x14ac:dyDescent="0.3">
      <c r="A256" s="6" t="s">
        <v>245</v>
      </c>
      <c r="B256" s="7" t="e">
        <f>VLOOKUP(#REF!,[2]Sheet2!$A$1:$I$134,7,TRUE)</f>
        <v>#REF!</v>
      </c>
      <c r="C256" s="7" t="e">
        <f>VLOOKUP(#REF!,[2]Sheet2!$A$1:$I$134,8,TRUE)</f>
        <v>#REF!</v>
      </c>
      <c r="D256" s="14" t="s">
        <v>468</v>
      </c>
    </row>
    <row r="257" spans="1:4" ht="15.6" x14ac:dyDescent="0.3">
      <c r="A257" s="6" t="s">
        <v>246</v>
      </c>
      <c r="B257" s="7" t="e">
        <f>VLOOKUP(#REF!,[2]Sheet2!$A$1:$I$134,7,TRUE)</f>
        <v>#REF!</v>
      </c>
      <c r="C257" s="7" t="e">
        <f>VLOOKUP(#REF!,[2]Sheet2!$A$1:$I$134,8,TRUE)</f>
        <v>#REF!</v>
      </c>
      <c r="D257" s="14" t="s">
        <v>468</v>
      </c>
    </row>
    <row r="258" spans="1:4" ht="15.6" x14ac:dyDescent="0.3">
      <c r="A258" s="6" t="s">
        <v>247</v>
      </c>
      <c r="B258" s="7" t="e">
        <f>VLOOKUP(#REF!,[2]Sheet2!$A$1:$I$134,7,TRUE)</f>
        <v>#REF!</v>
      </c>
      <c r="C258" s="7" t="e">
        <f>VLOOKUP(#REF!,[2]Sheet2!$A$1:$I$134,8,TRUE)</f>
        <v>#REF!</v>
      </c>
      <c r="D258" s="14" t="s">
        <v>468</v>
      </c>
    </row>
    <row r="259" spans="1:4" ht="15.6" x14ac:dyDescent="0.3">
      <c r="A259" s="6" t="s">
        <v>248</v>
      </c>
      <c r="B259" s="7" t="e">
        <f>VLOOKUP(#REF!,[2]Sheet2!$A$1:$I$134,7,TRUE)</f>
        <v>#REF!</v>
      </c>
      <c r="C259" s="7" t="e">
        <f>VLOOKUP(#REF!,[2]Sheet2!$A$1:$I$134,8,TRUE)</f>
        <v>#REF!</v>
      </c>
      <c r="D259" s="14" t="s">
        <v>468</v>
      </c>
    </row>
    <row r="260" spans="1:4" ht="15.6" x14ac:dyDescent="0.3">
      <c r="A260" s="6" t="s">
        <v>249</v>
      </c>
      <c r="B260" s="7" t="e">
        <f>VLOOKUP(#REF!,[2]Sheet2!$A$1:$I$134,7,TRUE)</f>
        <v>#REF!</v>
      </c>
      <c r="C260" s="7" t="e">
        <f>VLOOKUP(#REF!,[2]Sheet2!$A$1:$I$134,8,TRUE)</f>
        <v>#REF!</v>
      </c>
      <c r="D260" s="14" t="s">
        <v>468</v>
      </c>
    </row>
    <row r="261" spans="1:4" ht="15.6" x14ac:dyDescent="0.3">
      <c r="A261" s="6" t="s">
        <v>250</v>
      </c>
      <c r="B261" s="7" t="e">
        <f>VLOOKUP(#REF!,[2]Sheet2!$A$1:$I$134,7,TRUE)</f>
        <v>#REF!</v>
      </c>
      <c r="C261" s="7" t="e">
        <f>VLOOKUP(#REF!,[2]Sheet2!$A$1:$I$134,8,TRUE)</f>
        <v>#REF!</v>
      </c>
      <c r="D261" s="14" t="s">
        <v>468</v>
      </c>
    </row>
    <row r="262" spans="1:4" ht="15.6" x14ac:dyDescent="0.3">
      <c r="A262" s="6" t="s">
        <v>251</v>
      </c>
      <c r="B262" s="7" t="e">
        <f>VLOOKUP(#REF!,[2]Sheet2!$A$1:$I$134,7,TRUE)</f>
        <v>#REF!</v>
      </c>
      <c r="C262" s="7" t="e">
        <f>VLOOKUP(#REF!,[2]Sheet2!$A$1:$I$134,8,TRUE)</f>
        <v>#REF!</v>
      </c>
      <c r="D262" s="14" t="s">
        <v>468</v>
      </c>
    </row>
    <row r="263" spans="1:4" ht="15.6" x14ac:dyDescent="0.3">
      <c r="A263" s="6" t="s">
        <v>252</v>
      </c>
      <c r="B263" s="7" t="e">
        <f>VLOOKUP(#REF!,[2]Sheet2!$A$1:$I$134,7,TRUE)</f>
        <v>#REF!</v>
      </c>
      <c r="C263" s="7" t="e">
        <f>VLOOKUP(#REF!,[2]Sheet2!$A$1:$I$134,8,TRUE)</f>
        <v>#REF!</v>
      </c>
      <c r="D263" s="14" t="s">
        <v>468</v>
      </c>
    </row>
    <row r="264" spans="1:4" ht="15.6" x14ac:dyDescent="0.3">
      <c r="A264" s="6" t="s">
        <v>253</v>
      </c>
      <c r="B264" s="7" t="e">
        <f>VLOOKUP(#REF!,[2]Sheet2!$A$1:$I$134,7,TRUE)</f>
        <v>#REF!</v>
      </c>
      <c r="C264" s="7" t="e">
        <f>VLOOKUP(#REF!,[2]Sheet2!$A$1:$I$134,8,TRUE)</f>
        <v>#REF!</v>
      </c>
      <c r="D264" s="14" t="s">
        <v>468</v>
      </c>
    </row>
    <row r="265" spans="1:4" ht="15.6" x14ac:dyDescent="0.3">
      <c r="A265" s="6" t="s">
        <v>254</v>
      </c>
      <c r="B265" s="7" t="e">
        <f>VLOOKUP(#REF!,[2]Sheet2!$A$1:$I$134,7,TRUE)</f>
        <v>#REF!</v>
      </c>
      <c r="C265" s="7" t="e">
        <f>VLOOKUP(#REF!,[2]Sheet2!$A$1:$I$134,8,TRUE)</f>
        <v>#REF!</v>
      </c>
      <c r="D265" s="14" t="s">
        <v>468</v>
      </c>
    </row>
    <row r="266" spans="1:4" ht="15.6" x14ac:dyDescent="0.3">
      <c r="A266" s="6" t="s">
        <v>255</v>
      </c>
      <c r="B266" s="7" t="e">
        <f>VLOOKUP(#REF!,[2]Sheet2!$A$1:$I$134,7,TRUE)</f>
        <v>#REF!</v>
      </c>
      <c r="C266" s="7" t="e">
        <f>VLOOKUP(#REF!,[2]Sheet2!$A$1:$I$134,8,TRUE)</f>
        <v>#REF!</v>
      </c>
      <c r="D266" s="14" t="s">
        <v>468</v>
      </c>
    </row>
    <row r="267" spans="1:4" ht="15.6" x14ac:dyDescent="0.3">
      <c r="A267" s="6" t="s">
        <v>256</v>
      </c>
      <c r="B267" s="7" t="e">
        <f>VLOOKUP(#REF!,[2]Sheet2!$A$1:$I$134,7,TRUE)</f>
        <v>#REF!</v>
      </c>
      <c r="C267" s="7" t="e">
        <f>VLOOKUP(#REF!,[2]Sheet2!$A$1:$I$134,8,TRUE)</f>
        <v>#REF!</v>
      </c>
      <c r="D267" s="14" t="s">
        <v>468</v>
      </c>
    </row>
    <row r="268" spans="1:4" ht="15.6" x14ac:dyDescent="0.3">
      <c r="A268" s="6" t="s">
        <v>257</v>
      </c>
      <c r="B268" s="7" t="e">
        <f>VLOOKUP(#REF!,[2]Sheet2!$A$1:$I$134,7,TRUE)</f>
        <v>#REF!</v>
      </c>
      <c r="C268" s="7" t="e">
        <f>VLOOKUP(#REF!,[2]Sheet2!$A$1:$I$134,8,TRUE)</f>
        <v>#REF!</v>
      </c>
      <c r="D268" s="14" t="s">
        <v>468</v>
      </c>
    </row>
    <row r="269" spans="1:4" ht="15.6" x14ac:dyDescent="0.3">
      <c r="A269" s="6" t="s">
        <v>258</v>
      </c>
      <c r="B269" s="7" t="e">
        <f>VLOOKUP(#REF!,[2]Sheet2!$A$1:$I$134,7,TRUE)</f>
        <v>#REF!</v>
      </c>
      <c r="C269" s="7" t="e">
        <f>VLOOKUP(#REF!,[2]Sheet2!$A$1:$I$134,8,TRUE)</f>
        <v>#REF!</v>
      </c>
      <c r="D269" s="14" t="s">
        <v>468</v>
      </c>
    </row>
    <row r="270" spans="1:4" ht="15.6" x14ac:dyDescent="0.3">
      <c r="A270" s="6" t="s">
        <v>259</v>
      </c>
      <c r="B270" s="7" t="e">
        <f>VLOOKUP(#REF!,[2]Sheet2!$A$1:$I$134,7,TRUE)</f>
        <v>#REF!</v>
      </c>
      <c r="C270" s="7" t="e">
        <f>VLOOKUP(#REF!,[2]Sheet2!$A$1:$I$134,8,TRUE)</f>
        <v>#REF!</v>
      </c>
      <c r="D270" s="14" t="s">
        <v>468</v>
      </c>
    </row>
    <row r="271" spans="1:4" ht="15.6" x14ac:dyDescent="0.3">
      <c r="A271" s="6" t="s">
        <v>260</v>
      </c>
      <c r="B271" s="7" t="e">
        <f>VLOOKUP(#REF!,[2]Sheet2!$A$1:$I$134,7,TRUE)</f>
        <v>#REF!</v>
      </c>
      <c r="C271" s="7" t="e">
        <f>VLOOKUP(#REF!,[2]Sheet2!$A$1:$I$134,8,TRUE)</f>
        <v>#REF!</v>
      </c>
      <c r="D271" s="14" t="s">
        <v>468</v>
      </c>
    </row>
    <row r="272" spans="1:4" ht="15.6" x14ac:dyDescent="0.3">
      <c r="A272" s="6" t="s">
        <v>261</v>
      </c>
      <c r="B272" s="7" t="e">
        <f>VLOOKUP(#REF!,[2]Sheet2!$A$1:$I$134,7,TRUE)</f>
        <v>#REF!</v>
      </c>
      <c r="C272" s="7" t="e">
        <f>VLOOKUP(#REF!,[2]Sheet2!$A$1:$I$134,8,TRUE)</f>
        <v>#REF!</v>
      </c>
      <c r="D272" s="14" t="s">
        <v>468</v>
      </c>
    </row>
    <row r="273" spans="1:4" ht="15.6" x14ac:dyDescent="0.3">
      <c r="A273" s="6" t="s">
        <v>262</v>
      </c>
      <c r="B273" s="7" t="e">
        <f>VLOOKUP(#REF!,[2]Sheet2!$A$1:$I$134,7,TRUE)</f>
        <v>#REF!</v>
      </c>
      <c r="C273" s="7" t="e">
        <f>VLOOKUP(#REF!,[2]Sheet2!$A$1:$I$134,8,TRUE)</f>
        <v>#REF!</v>
      </c>
      <c r="D273" s="14" t="s">
        <v>468</v>
      </c>
    </row>
    <row r="274" spans="1:4" ht="15.6" x14ac:dyDescent="0.3">
      <c r="A274" s="6" t="s">
        <v>263</v>
      </c>
      <c r="B274" s="7" t="e">
        <f>VLOOKUP(#REF!,[2]Sheet2!$A$1:$I$134,7,TRUE)</f>
        <v>#REF!</v>
      </c>
      <c r="C274" s="7" t="e">
        <f>VLOOKUP(#REF!,[2]Sheet2!$A$1:$I$134,8,TRUE)</f>
        <v>#REF!</v>
      </c>
      <c r="D274" s="14" t="s">
        <v>468</v>
      </c>
    </row>
    <row r="275" spans="1:4" ht="15.6" x14ac:dyDescent="0.3">
      <c r="A275" s="6" t="s">
        <v>264</v>
      </c>
      <c r="B275" s="7" t="e">
        <f>VLOOKUP(#REF!,[2]Sheet2!$A$1:$I$134,7,TRUE)</f>
        <v>#REF!</v>
      </c>
      <c r="C275" s="7" t="e">
        <f>VLOOKUP(#REF!,[2]Sheet2!$A$1:$I$134,8,TRUE)</f>
        <v>#REF!</v>
      </c>
      <c r="D275" s="14" t="s">
        <v>468</v>
      </c>
    </row>
    <row r="276" spans="1:4" ht="15.6" x14ac:dyDescent="0.3">
      <c r="A276" s="6" t="s">
        <v>265</v>
      </c>
      <c r="B276" s="7" t="e">
        <f>VLOOKUP(#REF!,[2]Sheet2!$A$1:$I$134,7,TRUE)</f>
        <v>#REF!</v>
      </c>
      <c r="C276" s="7" t="e">
        <f>VLOOKUP(#REF!,[2]Sheet2!$A$1:$I$134,8,TRUE)</f>
        <v>#REF!</v>
      </c>
      <c r="D276" s="14" t="s">
        <v>468</v>
      </c>
    </row>
    <row r="277" spans="1:4" ht="15.6" x14ac:dyDescent="0.3">
      <c r="A277" s="6" t="s">
        <v>266</v>
      </c>
      <c r="B277" s="7" t="e">
        <f>VLOOKUP(#REF!,[2]Sheet2!$A$1:$I$134,7,TRUE)</f>
        <v>#REF!</v>
      </c>
      <c r="C277" s="7" t="e">
        <f>VLOOKUP(#REF!,[2]Sheet2!$A$1:$I$134,8,TRUE)</f>
        <v>#REF!</v>
      </c>
      <c r="D277" s="14" t="s">
        <v>468</v>
      </c>
    </row>
    <row r="278" spans="1:4" ht="15.6" x14ac:dyDescent="0.3">
      <c r="A278" s="6" t="s">
        <v>267</v>
      </c>
      <c r="B278" s="7" t="e">
        <f>VLOOKUP(#REF!,[2]Sheet2!$A$1:$I$134,7,TRUE)</f>
        <v>#REF!</v>
      </c>
      <c r="C278" s="7" t="e">
        <f>VLOOKUP(#REF!,[2]Sheet2!$A$1:$I$134,8,TRUE)</f>
        <v>#REF!</v>
      </c>
      <c r="D278" s="14" t="s">
        <v>468</v>
      </c>
    </row>
    <row r="279" spans="1:4" ht="15.6" x14ac:dyDescent="0.3">
      <c r="A279" s="6" t="s">
        <v>268</v>
      </c>
      <c r="B279" s="7" t="e">
        <f>VLOOKUP(#REF!,[2]Sheet2!$A$1:$I$134,7,TRUE)</f>
        <v>#REF!</v>
      </c>
      <c r="C279" s="7" t="e">
        <f>VLOOKUP(#REF!,[2]Sheet2!$A$1:$I$134,8,TRUE)</f>
        <v>#REF!</v>
      </c>
      <c r="D279" s="14" t="s">
        <v>468</v>
      </c>
    </row>
    <row r="280" spans="1:4" ht="15.6" x14ac:dyDescent="0.3">
      <c r="A280" s="6" t="s">
        <v>269</v>
      </c>
      <c r="B280" s="7" t="e">
        <f>VLOOKUP(#REF!,[2]Sheet2!$A$1:$I$134,7,TRUE)</f>
        <v>#REF!</v>
      </c>
      <c r="C280" s="7" t="e">
        <f>VLOOKUP(#REF!,[2]Sheet2!$A$1:$I$134,8,TRUE)</f>
        <v>#REF!</v>
      </c>
      <c r="D280" s="14" t="s">
        <v>468</v>
      </c>
    </row>
    <row r="281" spans="1:4" ht="15.6" x14ac:dyDescent="0.3">
      <c r="A281" s="6" t="s">
        <v>270</v>
      </c>
      <c r="B281" s="7" t="e">
        <f>VLOOKUP(#REF!,[2]Sheet2!$A$1:$I$134,7,TRUE)</f>
        <v>#REF!</v>
      </c>
      <c r="C281" s="7" t="e">
        <f>VLOOKUP(#REF!,[2]Sheet2!$A$1:$I$134,8,TRUE)</f>
        <v>#REF!</v>
      </c>
      <c r="D281" s="14" t="s">
        <v>468</v>
      </c>
    </row>
    <row r="282" spans="1:4" ht="15.6" x14ac:dyDescent="0.3">
      <c r="A282" s="6" t="s">
        <v>271</v>
      </c>
      <c r="B282" s="7" t="e">
        <f>VLOOKUP(#REF!,[2]Sheet2!$A$1:$I$134,7,TRUE)</f>
        <v>#REF!</v>
      </c>
      <c r="C282" s="7" t="e">
        <f>VLOOKUP(#REF!,[2]Sheet2!$A$1:$I$134,8,TRUE)</f>
        <v>#REF!</v>
      </c>
      <c r="D282" s="14" t="s">
        <v>468</v>
      </c>
    </row>
    <row r="283" spans="1:4" ht="15.6" x14ac:dyDescent="0.3">
      <c r="A283" s="6" t="s">
        <v>272</v>
      </c>
      <c r="B283" s="7" t="e">
        <f>VLOOKUP(#REF!,[2]Sheet2!$A$1:$I$134,7,TRUE)</f>
        <v>#REF!</v>
      </c>
      <c r="C283" s="7" t="e">
        <f>VLOOKUP(#REF!,[2]Sheet2!$A$1:$I$134,8,TRUE)</f>
        <v>#REF!</v>
      </c>
      <c r="D283" s="14" t="s">
        <v>468</v>
      </c>
    </row>
    <row r="284" spans="1:4" ht="15.6" x14ac:dyDescent="0.3">
      <c r="A284" s="6" t="s">
        <v>273</v>
      </c>
      <c r="B284" s="7" t="e">
        <f>VLOOKUP(#REF!,[2]Sheet2!$A$1:$I$134,7,TRUE)</f>
        <v>#REF!</v>
      </c>
      <c r="C284" s="7" t="e">
        <f>VLOOKUP(#REF!,[2]Sheet2!$A$1:$I$134,8,TRUE)</f>
        <v>#REF!</v>
      </c>
      <c r="D284" s="14" t="s">
        <v>468</v>
      </c>
    </row>
    <row r="285" spans="1:4" ht="15.6" x14ac:dyDescent="0.3">
      <c r="A285" s="6" t="s">
        <v>274</v>
      </c>
      <c r="B285" s="7" t="e">
        <f>VLOOKUP(#REF!,[2]Sheet2!$A$1:$I$134,7,TRUE)</f>
        <v>#REF!</v>
      </c>
      <c r="C285" s="7" t="e">
        <f>VLOOKUP(#REF!,[2]Sheet2!$A$1:$I$134,8,TRUE)</f>
        <v>#REF!</v>
      </c>
      <c r="D285" s="14" t="s">
        <v>468</v>
      </c>
    </row>
    <row r="286" spans="1:4" ht="15.6" x14ac:dyDescent="0.3">
      <c r="A286" s="6" t="s">
        <v>275</v>
      </c>
      <c r="B286" s="7" t="e">
        <f>VLOOKUP(#REF!,[2]Sheet2!$A$1:$I$134,7,TRUE)</f>
        <v>#REF!</v>
      </c>
      <c r="C286" s="7" t="e">
        <f>VLOOKUP(#REF!,[2]Sheet2!$A$1:$I$134,8,TRUE)</f>
        <v>#REF!</v>
      </c>
      <c r="D286" s="14" t="s">
        <v>468</v>
      </c>
    </row>
    <row r="287" spans="1:4" ht="15.6" x14ac:dyDescent="0.3">
      <c r="A287" s="6" t="s">
        <v>276</v>
      </c>
      <c r="B287" s="7" t="e">
        <f>VLOOKUP(#REF!,[2]Sheet2!$A$1:$I$134,7,TRUE)</f>
        <v>#REF!</v>
      </c>
      <c r="C287" s="7" t="e">
        <f>VLOOKUP(#REF!,[2]Sheet2!$A$1:$I$134,8,TRUE)</f>
        <v>#REF!</v>
      </c>
      <c r="D287" s="14" t="s">
        <v>468</v>
      </c>
    </row>
    <row r="288" spans="1:4" ht="15.6" x14ac:dyDescent="0.3">
      <c r="A288" s="6" t="s">
        <v>277</v>
      </c>
      <c r="B288" s="7" t="e">
        <f>VLOOKUP(#REF!,[2]Sheet2!$A$1:$I$134,7,TRUE)</f>
        <v>#REF!</v>
      </c>
      <c r="C288" s="7" t="e">
        <f>VLOOKUP(#REF!,[2]Sheet2!$A$1:$I$134,8,TRUE)</f>
        <v>#REF!</v>
      </c>
      <c r="D288" s="14" t="s">
        <v>468</v>
      </c>
    </row>
    <row r="289" spans="1:4" ht="15.6" x14ac:dyDescent="0.3">
      <c r="A289" s="6" t="s">
        <v>278</v>
      </c>
      <c r="B289" s="7" t="e">
        <f>VLOOKUP(#REF!,[2]Sheet2!$A$1:$I$134,7,TRUE)</f>
        <v>#REF!</v>
      </c>
      <c r="C289" s="7" t="e">
        <f>VLOOKUP(#REF!,[2]Sheet2!$A$1:$I$134,8,TRUE)</f>
        <v>#REF!</v>
      </c>
      <c r="D289" s="14" t="s">
        <v>468</v>
      </c>
    </row>
    <row r="290" spans="1:4" ht="15.6" x14ac:dyDescent="0.3">
      <c r="A290" s="6" t="s">
        <v>279</v>
      </c>
      <c r="B290" s="7" t="e">
        <f>VLOOKUP(#REF!,[2]Sheet2!$A$1:$I$134,7,TRUE)</f>
        <v>#REF!</v>
      </c>
      <c r="C290" s="7" t="e">
        <f>VLOOKUP(#REF!,[2]Sheet2!$A$1:$I$134,8,TRUE)</f>
        <v>#REF!</v>
      </c>
      <c r="D290" s="14" t="s">
        <v>468</v>
      </c>
    </row>
    <row r="291" spans="1:4" ht="15.6" x14ac:dyDescent="0.3">
      <c r="A291" s="6" t="s">
        <v>280</v>
      </c>
      <c r="B291" s="7" t="e">
        <f>VLOOKUP(#REF!,[2]Sheet2!$A$1:$I$134,7,TRUE)</f>
        <v>#REF!</v>
      </c>
      <c r="C291" s="7" t="e">
        <f>VLOOKUP(#REF!,[2]Sheet2!$A$1:$I$134,8,TRUE)</f>
        <v>#REF!</v>
      </c>
      <c r="D291" s="14" t="s">
        <v>468</v>
      </c>
    </row>
    <row r="292" spans="1:4" ht="15.6" x14ac:dyDescent="0.3">
      <c r="A292" s="6" t="s">
        <v>281</v>
      </c>
      <c r="B292" s="7" t="e">
        <f>VLOOKUP(#REF!,[2]Sheet2!$A$1:$I$134,7,TRUE)</f>
        <v>#REF!</v>
      </c>
      <c r="C292" s="7" t="e">
        <f>VLOOKUP(#REF!,[2]Sheet2!$A$1:$I$134,8,TRUE)</f>
        <v>#REF!</v>
      </c>
      <c r="D292" s="14" t="s">
        <v>468</v>
      </c>
    </row>
    <row r="293" spans="1:4" ht="15.6" x14ac:dyDescent="0.3">
      <c r="A293" s="6" t="s">
        <v>282</v>
      </c>
      <c r="B293" s="7" t="e">
        <f>VLOOKUP(#REF!,[2]Sheet2!$A$1:$I$134,7,TRUE)</f>
        <v>#REF!</v>
      </c>
      <c r="C293" s="7" t="e">
        <f>VLOOKUP(#REF!,[2]Sheet2!$A$1:$I$134,8,TRUE)</f>
        <v>#REF!</v>
      </c>
      <c r="D293" s="14" t="s">
        <v>468</v>
      </c>
    </row>
    <row r="294" spans="1:4" ht="15.6" x14ac:dyDescent="0.3">
      <c r="A294" s="6" t="s">
        <v>235</v>
      </c>
      <c r="B294" s="7" t="e">
        <f>VLOOKUP(#REF!,[2]Sheet2!$A$1:$I$134,7,TRUE)</f>
        <v>#REF!</v>
      </c>
      <c r="C294" s="7" t="e">
        <f>VLOOKUP(#REF!,[2]Sheet2!$A$1:$I$134,8,TRUE)</f>
        <v>#REF!</v>
      </c>
      <c r="D294" s="14" t="s">
        <v>468</v>
      </c>
    </row>
    <row r="295" spans="1:4" ht="15.6" x14ac:dyDescent="0.3">
      <c r="A295" s="6" t="s">
        <v>283</v>
      </c>
      <c r="B295" s="7" t="e">
        <f>VLOOKUP(#REF!,[2]Sheet2!$A$1:$I$134,7,TRUE)</f>
        <v>#REF!</v>
      </c>
      <c r="C295" s="7" t="e">
        <f>VLOOKUP(#REF!,[2]Sheet2!$A$1:$I$134,8,TRUE)</f>
        <v>#REF!</v>
      </c>
      <c r="D295" s="14" t="s">
        <v>468</v>
      </c>
    </row>
    <row r="296" spans="1:4" ht="15.6" x14ac:dyDescent="0.3">
      <c r="A296" s="6" t="s">
        <v>284</v>
      </c>
      <c r="B296" s="7" t="e">
        <f>VLOOKUP(#REF!,[2]Sheet2!$A$1:$I$134,7,TRUE)</f>
        <v>#REF!</v>
      </c>
      <c r="C296" s="7" t="e">
        <f>VLOOKUP(#REF!,[2]Sheet2!$A$1:$I$134,8,TRUE)</f>
        <v>#REF!</v>
      </c>
      <c r="D296" s="14" t="s">
        <v>468</v>
      </c>
    </row>
    <row r="297" spans="1:4" ht="15.6" x14ac:dyDescent="0.3">
      <c r="A297" s="6" t="s">
        <v>285</v>
      </c>
      <c r="B297" s="7" t="e">
        <f>VLOOKUP(#REF!,[2]Sheet2!$A$1:$I$134,7,TRUE)</f>
        <v>#REF!</v>
      </c>
      <c r="C297" s="7" t="e">
        <f>VLOOKUP(#REF!,[2]Sheet2!$A$1:$I$134,8,TRUE)</f>
        <v>#REF!</v>
      </c>
      <c r="D297" s="14" t="s">
        <v>468</v>
      </c>
    </row>
    <row r="298" spans="1:4" ht="15.6" x14ac:dyDescent="0.3">
      <c r="A298" s="6" t="s">
        <v>286</v>
      </c>
      <c r="B298" s="7" t="e">
        <f>VLOOKUP(#REF!,[2]Sheet2!$A$1:$I$134,7,TRUE)</f>
        <v>#REF!</v>
      </c>
      <c r="C298" s="7" t="e">
        <f>VLOOKUP(#REF!,[2]Sheet2!$A$1:$I$134,8,TRUE)</f>
        <v>#REF!</v>
      </c>
      <c r="D298" s="14" t="s">
        <v>468</v>
      </c>
    </row>
    <row r="299" spans="1:4" ht="15.6" x14ac:dyDescent="0.3">
      <c r="A299" s="6" t="s">
        <v>287</v>
      </c>
      <c r="B299" s="7" t="e">
        <f>VLOOKUP(#REF!,[2]Sheet2!$A$1:$I$134,7,TRUE)</f>
        <v>#REF!</v>
      </c>
      <c r="C299" s="7" t="e">
        <f>VLOOKUP(#REF!,[2]Sheet2!$A$1:$I$134,8,TRUE)</f>
        <v>#REF!</v>
      </c>
      <c r="D299" s="14" t="s">
        <v>468</v>
      </c>
    </row>
    <row r="300" spans="1:4" ht="15.6" x14ac:dyDescent="0.3">
      <c r="A300" s="6" t="s">
        <v>288</v>
      </c>
      <c r="B300" s="7" t="e">
        <f>VLOOKUP(#REF!,[2]Sheet2!$A$1:$I$134,7,TRUE)</f>
        <v>#REF!</v>
      </c>
      <c r="C300" s="7" t="e">
        <f>VLOOKUP(#REF!,[2]Sheet2!$A$1:$I$134,8,TRUE)</f>
        <v>#REF!</v>
      </c>
      <c r="D300" s="14" t="s">
        <v>468</v>
      </c>
    </row>
    <row r="301" spans="1:4" ht="15.6" x14ac:dyDescent="0.3">
      <c r="A301" s="6" t="s">
        <v>289</v>
      </c>
      <c r="B301" s="7" t="e">
        <f>VLOOKUP(#REF!,[2]Sheet2!$A$1:$I$134,7,TRUE)</f>
        <v>#REF!</v>
      </c>
      <c r="C301" s="7" t="e">
        <f>VLOOKUP(#REF!,[2]Sheet2!$A$1:$I$134,8,TRUE)</f>
        <v>#REF!</v>
      </c>
      <c r="D301" s="14" t="s">
        <v>468</v>
      </c>
    </row>
    <row r="302" spans="1:4" ht="15.6" x14ac:dyDescent="0.3">
      <c r="A302" s="6" t="s">
        <v>290</v>
      </c>
      <c r="B302" s="7" t="e">
        <f>VLOOKUP(#REF!,[2]Sheet2!$A$1:$I$134,7,TRUE)</f>
        <v>#REF!</v>
      </c>
      <c r="C302" s="7" t="e">
        <f>VLOOKUP(#REF!,[2]Sheet2!$A$1:$I$134,8,TRUE)</f>
        <v>#REF!</v>
      </c>
      <c r="D302" s="14" t="s">
        <v>468</v>
      </c>
    </row>
    <row r="303" spans="1:4" ht="15.6" x14ac:dyDescent="0.3">
      <c r="A303" s="6" t="s">
        <v>291</v>
      </c>
      <c r="B303" s="7" t="e">
        <f>VLOOKUP(#REF!,[2]Sheet2!$A$1:$I$134,7,TRUE)</f>
        <v>#REF!</v>
      </c>
      <c r="C303" s="7" t="e">
        <f>VLOOKUP(#REF!,[2]Sheet2!$A$1:$I$134,8,TRUE)</f>
        <v>#REF!</v>
      </c>
      <c r="D303" s="14" t="s">
        <v>468</v>
      </c>
    </row>
    <row r="304" spans="1:4" ht="15.6" x14ac:dyDescent="0.3">
      <c r="A304" s="6" t="s">
        <v>292</v>
      </c>
      <c r="B304" s="7" t="e">
        <f>VLOOKUP(#REF!,[2]Sheet2!$A$1:$I$134,7,TRUE)</f>
        <v>#REF!</v>
      </c>
      <c r="C304" s="7" t="e">
        <f>VLOOKUP(#REF!,[2]Sheet2!$A$1:$I$134,8,TRUE)</f>
        <v>#REF!</v>
      </c>
      <c r="D304" s="14" t="s">
        <v>468</v>
      </c>
    </row>
    <row r="305" spans="1:4" ht="15.6" x14ac:dyDescent="0.3">
      <c r="A305" s="6" t="s">
        <v>293</v>
      </c>
      <c r="B305" s="7" t="e">
        <f>VLOOKUP(#REF!,[2]Sheet2!$A$1:$I$134,7,TRUE)</f>
        <v>#REF!</v>
      </c>
      <c r="C305" s="7" t="e">
        <f>VLOOKUP(#REF!,[2]Sheet2!$A$1:$I$134,8,TRUE)</f>
        <v>#REF!</v>
      </c>
      <c r="D305" s="14" t="s">
        <v>468</v>
      </c>
    </row>
    <row r="306" spans="1:4" ht="15.6" x14ac:dyDescent="0.3">
      <c r="A306" s="6" t="s">
        <v>294</v>
      </c>
      <c r="B306" s="7" t="e">
        <f>VLOOKUP(#REF!,[2]Sheet2!$A$1:$I$134,7,TRUE)</f>
        <v>#REF!</v>
      </c>
      <c r="C306" s="7" t="e">
        <f>VLOOKUP(#REF!,[2]Sheet2!$A$1:$I$134,8,TRUE)</f>
        <v>#REF!</v>
      </c>
      <c r="D306" s="14" t="s">
        <v>468</v>
      </c>
    </row>
    <row r="307" spans="1:4" ht="15.6" x14ac:dyDescent="0.3">
      <c r="A307" s="6" t="s">
        <v>295</v>
      </c>
      <c r="B307" s="7" t="e">
        <f>VLOOKUP(#REF!,[2]Sheet2!$A$1:$I$134,7,TRUE)</f>
        <v>#REF!</v>
      </c>
      <c r="C307" s="7" t="e">
        <f>VLOOKUP(#REF!,[2]Sheet2!$A$1:$I$134,8,TRUE)</f>
        <v>#REF!</v>
      </c>
      <c r="D307" s="14" t="s">
        <v>468</v>
      </c>
    </row>
    <row r="308" spans="1:4" ht="15.6" x14ac:dyDescent="0.3">
      <c r="A308" s="6" t="s">
        <v>296</v>
      </c>
      <c r="B308" s="7" t="e">
        <f>VLOOKUP(#REF!,[2]Sheet2!$A$1:$I$134,7,TRUE)</f>
        <v>#REF!</v>
      </c>
      <c r="C308" s="7" t="e">
        <f>VLOOKUP(#REF!,[2]Sheet2!$A$1:$I$134,8,TRUE)</f>
        <v>#REF!</v>
      </c>
      <c r="D308" s="14" t="s">
        <v>468</v>
      </c>
    </row>
    <row r="309" spans="1:4" ht="15.6" x14ac:dyDescent="0.3">
      <c r="A309" s="6" t="s">
        <v>297</v>
      </c>
      <c r="B309" s="7" t="e">
        <f>VLOOKUP(#REF!,[2]Sheet2!$A$1:$I$134,7,TRUE)</f>
        <v>#REF!</v>
      </c>
      <c r="C309" s="7" t="e">
        <f>VLOOKUP(#REF!,[2]Sheet2!$A$1:$I$134,8,TRUE)</f>
        <v>#REF!</v>
      </c>
      <c r="D309" s="14" t="s">
        <v>468</v>
      </c>
    </row>
    <row r="310" spans="1:4" ht="15.6" x14ac:dyDescent="0.3">
      <c r="A310" s="6" t="s">
        <v>298</v>
      </c>
      <c r="B310" s="7" t="e">
        <f>VLOOKUP(#REF!,[2]Sheet2!$A$1:$I$134,7,TRUE)</f>
        <v>#REF!</v>
      </c>
      <c r="C310" s="7" t="e">
        <f>VLOOKUP(#REF!,[2]Sheet2!$A$1:$I$134,8,TRUE)</f>
        <v>#REF!</v>
      </c>
      <c r="D310" s="14" t="s">
        <v>468</v>
      </c>
    </row>
    <row r="311" spans="1:4" ht="15.6" x14ac:dyDescent="0.3">
      <c r="A311" s="6" t="s">
        <v>299</v>
      </c>
      <c r="B311" s="7" t="e">
        <f>VLOOKUP(#REF!,[2]Sheet2!$A$1:$I$134,7,TRUE)</f>
        <v>#REF!</v>
      </c>
      <c r="C311" s="7" t="e">
        <f>VLOOKUP(#REF!,[2]Sheet2!$A$1:$I$134,8,TRUE)</f>
        <v>#REF!</v>
      </c>
      <c r="D311" s="14" t="s">
        <v>468</v>
      </c>
    </row>
    <row r="312" spans="1:4" ht="15.6" x14ac:dyDescent="0.3">
      <c r="A312" s="6" t="s">
        <v>300</v>
      </c>
      <c r="B312" s="7" t="e">
        <f>VLOOKUP(#REF!,[2]Sheet2!$A$1:$I$134,7,TRUE)</f>
        <v>#REF!</v>
      </c>
      <c r="C312" s="7" t="e">
        <f>VLOOKUP(#REF!,[2]Sheet2!$A$1:$I$134,8,TRUE)</f>
        <v>#REF!</v>
      </c>
      <c r="D312" s="14" t="s">
        <v>468</v>
      </c>
    </row>
    <row r="313" spans="1:4" ht="15.6" x14ac:dyDescent="0.3">
      <c r="A313" s="6" t="s">
        <v>301</v>
      </c>
      <c r="B313" s="7" t="e">
        <f>VLOOKUP(#REF!,[2]Sheet2!$A$1:$I$134,7,TRUE)</f>
        <v>#REF!</v>
      </c>
      <c r="C313" s="7" t="e">
        <f>VLOOKUP(#REF!,[2]Sheet2!$A$1:$I$134,8,TRUE)</f>
        <v>#REF!</v>
      </c>
      <c r="D313" s="14" t="s">
        <v>468</v>
      </c>
    </row>
    <row r="314" spans="1:4" ht="15.6" x14ac:dyDescent="0.3">
      <c r="A314" s="6" t="s">
        <v>302</v>
      </c>
      <c r="B314" s="7" t="e">
        <f>VLOOKUP(#REF!,[2]Sheet2!$A$1:$I$134,7,TRUE)</f>
        <v>#REF!</v>
      </c>
      <c r="C314" s="7" t="e">
        <f>VLOOKUP(#REF!,[2]Sheet2!$A$1:$I$134,8,TRUE)</f>
        <v>#REF!</v>
      </c>
      <c r="D314" s="14" t="s">
        <v>468</v>
      </c>
    </row>
    <row r="315" spans="1:4" ht="15.6" x14ac:dyDescent="0.3">
      <c r="A315" s="6" t="s">
        <v>303</v>
      </c>
      <c r="B315" s="7" t="e">
        <f>VLOOKUP(#REF!,[2]Sheet2!$A$1:$I$134,7,TRUE)</f>
        <v>#REF!</v>
      </c>
      <c r="C315" s="7" t="e">
        <f>VLOOKUP(#REF!,[2]Sheet2!$A$1:$I$134,8,TRUE)</f>
        <v>#REF!</v>
      </c>
      <c r="D315" s="14" t="s">
        <v>468</v>
      </c>
    </row>
    <row r="316" spans="1:4" ht="15.6" x14ac:dyDescent="0.3">
      <c r="A316" s="6" t="s">
        <v>304</v>
      </c>
      <c r="B316" s="7" t="e">
        <f>VLOOKUP(#REF!,[2]Sheet2!$A$1:$I$134,7,TRUE)</f>
        <v>#REF!</v>
      </c>
      <c r="C316" s="7" t="e">
        <f>VLOOKUP(#REF!,[2]Sheet2!$A$1:$I$134,8,TRUE)</f>
        <v>#REF!</v>
      </c>
      <c r="D316" s="14" t="s">
        <v>468</v>
      </c>
    </row>
    <row r="317" spans="1:4" ht="15.6" x14ac:dyDescent="0.3">
      <c r="A317" s="6" t="s">
        <v>305</v>
      </c>
      <c r="B317" s="7" t="e">
        <f>VLOOKUP(#REF!,[2]Sheet2!$A$1:$I$134,7,TRUE)</f>
        <v>#REF!</v>
      </c>
      <c r="C317" s="7" t="e">
        <f>VLOOKUP(#REF!,[2]Sheet2!$A$1:$I$134,8,TRUE)</f>
        <v>#REF!</v>
      </c>
      <c r="D317" s="14" t="s">
        <v>468</v>
      </c>
    </row>
    <row r="318" spans="1:4" ht="15.6" x14ac:dyDescent="0.3">
      <c r="A318" s="6" t="s">
        <v>306</v>
      </c>
      <c r="B318" s="7" t="e">
        <f>VLOOKUP(#REF!,[2]Sheet2!$A$1:$I$134,7,TRUE)</f>
        <v>#REF!</v>
      </c>
      <c r="C318" s="7" t="e">
        <f>VLOOKUP(#REF!,[2]Sheet2!$A$1:$I$134,8,TRUE)</f>
        <v>#REF!</v>
      </c>
      <c r="D318" s="14" t="s">
        <v>468</v>
      </c>
    </row>
    <row r="319" spans="1:4" ht="15.6" x14ac:dyDescent="0.3">
      <c r="A319" s="6" t="s">
        <v>307</v>
      </c>
      <c r="B319" s="7" t="e">
        <f>VLOOKUP(#REF!,[2]Sheet2!$A$1:$I$134,7,TRUE)</f>
        <v>#REF!</v>
      </c>
      <c r="C319" s="7" t="e">
        <f>VLOOKUP(#REF!,[2]Sheet2!$A$1:$I$134,8,TRUE)</f>
        <v>#REF!</v>
      </c>
      <c r="D319" s="14" t="s">
        <v>468</v>
      </c>
    </row>
    <row r="320" spans="1:4" ht="15.6" x14ac:dyDescent="0.3">
      <c r="A320" s="6" t="s">
        <v>308</v>
      </c>
      <c r="B320" s="7" t="e">
        <f>VLOOKUP(#REF!,[2]Sheet2!$A$1:$I$134,7,TRUE)</f>
        <v>#REF!</v>
      </c>
      <c r="C320" s="7" t="e">
        <f>VLOOKUP(#REF!,[2]Sheet2!$A$1:$I$134,8,TRUE)</f>
        <v>#REF!</v>
      </c>
      <c r="D320" s="14" t="s">
        <v>468</v>
      </c>
    </row>
    <row r="321" spans="1:4" ht="15.6" x14ac:dyDescent="0.3">
      <c r="A321" s="6" t="s">
        <v>309</v>
      </c>
      <c r="B321" s="7" t="e">
        <f>VLOOKUP(#REF!,[2]Sheet2!$A$1:$I$134,7,TRUE)</f>
        <v>#REF!</v>
      </c>
      <c r="C321" s="7" t="e">
        <f>VLOOKUP(#REF!,[2]Sheet2!$A$1:$I$134,8,TRUE)</f>
        <v>#REF!</v>
      </c>
      <c r="D321" s="14" t="s">
        <v>468</v>
      </c>
    </row>
    <row r="322" spans="1:4" ht="15.6" x14ac:dyDescent="0.3">
      <c r="A322" s="6" t="s">
        <v>310</v>
      </c>
      <c r="B322" s="7" t="e">
        <f>VLOOKUP(#REF!,[2]Sheet2!$A$1:$I$134,7,TRUE)</f>
        <v>#REF!</v>
      </c>
      <c r="C322" s="7" t="e">
        <f>VLOOKUP(#REF!,[2]Sheet2!$A$1:$I$134,8,TRUE)</f>
        <v>#REF!</v>
      </c>
      <c r="D322" s="14" t="s">
        <v>468</v>
      </c>
    </row>
    <row r="323" spans="1:4" ht="15.6" x14ac:dyDescent="0.3">
      <c r="A323" s="6" t="s">
        <v>311</v>
      </c>
      <c r="B323" s="7" t="e">
        <f>VLOOKUP(#REF!,[2]Sheet2!$A$1:$I$134,7,TRUE)</f>
        <v>#REF!</v>
      </c>
      <c r="C323" s="7" t="e">
        <f>VLOOKUP(#REF!,[2]Sheet2!$A$1:$I$134,8,TRUE)</f>
        <v>#REF!</v>
      </c>
      <c r="D323" s="14" t="s">
        <v>468</v>
      </c>
    </row>
    <row r="324" spans="1:4" ht="15.6" x14ac:dyDescent="0.3">
      <c r="A324" s="6" t="s">
        <v>312</v>
      </c>
      <c r="B324" s="7" t="e">
        <f>VLOOKUP(#REF!,[2]Sheet2!$A$1:$I$134,7,TRUE)</f>
        <v>#REF!</v>
      </c>
      <c r="C324" s="7" t="e">
        <f>VLOOKUP(#REF!,[2]Sheet2!$A$1:$I$134,8,TRUE)</f>
        <v>#REF!</v>
      </c>
      <c r="D324" s="14" t="s">
        <v>468</v>
      </c>
    </row>
    <row r="325" spans="1:4" ht="15.6" x14ac:dyDescent="0.3">
      <c r="A325" s="6" t="s">
        <v>313</v>
      </c>
      <c r="B325" s="7" t="e">
        <f>VLOOKUP(#REF!,[2]Sheet2!$A$1:$I$134,7,TRUE)</f>
        <v>#REF!</v>
      </c>
      <c r="C325" s="7" t="e">
        <f>VLOOKUP(#REF!,[2]Sheet2!$A$1:$I$134,8,TRUE)</f>
        <v>#REF!</v>
      </c>
      <c r="D325" s="14" t="s">
        <v>468</v>
      </c>
    </row>
    <row r="326" spans="1:4" ht="15.6" x14ac:dyDescent="0.3">
      <c r="A326" s="6" t="s">
        <v>314</v>
      </c>
      <c r="B326" s="7" t="e">
        <f>VLOOKUP(#REF!,[2]Sheet2!$A$1:$I$134,7,TRUE)</f>
        <v>#REF!</v>
      </c>
      <c r="C326" s="7" t="e">
        <f>VLOOKUP(#REF!,[2]Sheet2!$A$1:$I$134,8,TRUE)</f>
        <v>#REF!</v>
      </c>
      <c r="D326" s="14" t="s">
        <v>468</v>
      </c>
    </row>
    <row r="327" spans="1:4" ht="15.6" x14ac:dyDescent="0.3">
      <c r="A327" s="6" t="s">
        <v>315</v>
      </c>
      <c r="B327" s="7" t="e">
        <f>VLOOKUP(#REF!,[2]Sheet2!$A$1:$I$134,7,TRUE)</f>
        <v>#REF!</v>
      </c>
      <c r="C327" s="7" t="e">
        <f>VLOOKUP(#REF!,[2]Sheet2!$A$1:$I$134,8,TRUE)</f>
        <v>#REF!</v>
      </c>
      <c r="D327" s="14" t="s">
        <v>468</v>
      </c>
    </row>
    <row r="328" spans="1:4" ht="15.6" x14ac:dyDescent="0.3">
      <c r="A328" s="6" t="s">
        <v>316</v>
      </c>
      <c r="B328" s="7" t="e">
        <f>VLOOKUP(#REF!,[2]Sheet2!$A$1:$I$134,7,TRUE)</f>
        <v>#REF!</v>
      </c>
      <c r="C328" s="7" t="e">
        <f>VLOOKUP(#REF!,[2]Sheet2!$A$1:$I$134,8,TRUE)</f>
        <v>#REF!</v>
      </c>
      <c r="D328" s="14" t="s">
        <v>468</v>
      </c>
    </row>
    <row r="329" spans="1:4" ht="15.6" x14ac:dyDescent="0.3">
      <c r="A329" s="6" t="s">
        <v>317</v>
      </c>
      <c r="B329" s="7" t="e">
        <f>VLOOKUP(#REF!,[2]Sheet2!$A$1:$I$134,7,TRUE)</f>
        <v>#REF!</v>
      </c>
      <c r="C329" s="7" t="e">
        <f>VLOOKUP(#REF!,[2]Sheet2!$A$1:$I$134,8,TRUE)</f>
        <v>#REF!</v>
      </c>
      <c r="D329" s="14" t="s">
        <v>468</v>
      </c>
    </row>
    <row r="330" spans="1:4" ht="15.6" x14ac:dyDescent="0.3">
      <c r="A330" s="6" t="s">
        <v>318</v>
      </c>
      <c r="B330" s="7" t="e">
        <f>VLOOKUP(#REF!,[2]Sheet2!$A$1:$I$134,7,TRUE)</f>
        <v>#REF!</v>
      </c>
      <c r="C330" s="7" t="e">
        <f>VLOOKUP(#REF!,[2]Sheet2!$A$1:$I$134,8,TRUE)</f>
        <v>#REF!</v>
      </c>
      <c r="D330" s="14" t="s">
        <v>468</v>
      </c>
    </row>
    <row r="331" spans="1:4" ht="15.6" x14ac:dyDescent="0.3">
      <c r="A331" s="6" t="s">
        <v>319</v>
      </c>
      <c r="B331" s="7" t="e">
        <f>VLOOKUP(#REF!,[2]Sheet2!$A$1:$I$134,7,TRUE)</f>
        <v>#REF!</v>
      </c>
      <c r="C331" s="7" t="e">
        <f>VLOOKUP(#REF!,[2]Sheet2!$A$1:$I$134,8,TRUE)</f>
        <v>#REF!</v>
      </c>
      <c r="D331" s="14" t="s">
        <v>468</v>
      </c>
    </row>
    <row r="332" spans="1:4" ht="15.6" x14ac:dyDescent="0.3">
      <c r="A332" s="6" t="s">
        <v>320</v>
      </c>
      <c r="B332" s="7" t="e">
        <f>VLOOKUP(#REF!,[2]Sheet2!$A$1:$I$134,7,TRUE)</f>
        <v>#REF!</v>
      </c>
      <c r="C332" s="7" t="e">
        <f>VLOOKUP(#REF!,[2]Sheet2!$A$1:$I$134,8,TRUE)</f>
        <v>#REF!</v>
      </c>
      <c r="D332" s="14" t="s">
        <v>468</v>
      </c>
    </row>
    <row r="333" spans="1:4" ht="15.6" x14ac:dyDescent="0.3">
      <c r="A333" s="6" t="s">
        <v>321</v>
      </c>
      <c r="B333" s="7" t="e">
        <f>VLOOKUP(#REF!,[2]Sheet2!$A$1:$I$134,7,TRUE)</f>
        <v>#REF!</v>
      </c>
      <c r="C333" s="7" t="e">
        <f>VLOOKUP(#REF!,[2]Sheet2!$A$1:$I$134,8,TRUE)</f>
        <v>#REF!</v>
      </c>
      <c r="D333" s="14" t="s">
        <v>468</v>
      </c>
    </row>
    <row r="334" spans="1:4" ht="15.6" x14ac:dyDescent="0.3">
      <c r="A334" s="6" t="s">
        <v>322</v>
      </c>
      <c r="B334" s="7" t="e">
        <f>VLOOKUP(#REF!,[2]Sheet2!$A$1:$I$134,7,TRUE)</f>
        <v>#REF!</v>
      </c>
      <c r="C334" s="7" t="e">
        <f>VLOOKUP(#REF!,[2]Sheet2!$A$1:$I$134,8,TRUE)</f>
        <v>#REF!</v>
      </c>
      <c r="D334" s="14" t="s">
        <v>468</v>
      </c>
    </row>
    <row r="335" spans="1:4" ht="15.6" x14ac:dyDescent="0.3">
      <c r="A335" s="6" t="s">
        <v>323</v>
      </c>
      <c r="B335" s="7" t="e">
        <f>VLOOKUP(#REF!,[2]Sheet2!$A$1:$I$134,7,TRUE)</f>
        <v>#REF!</v>
      </c>
      <c r="C335" s="7" t="e">
        <f>VLOOKUP(#REF!,[2]Sheet2!$A$1:$I$134,8,TRUE)</f>
        <v>#REF!</v>
      </c>
      <c r="D335" s="14" t="s">
        <v>468</v>
      </c>
    </row>
    <row r="336" spans="1:4" ht="15.6" x14ac:dyDescent="0.3">
      <c r="A336" s="6" t="s">
        <v>324</v>
      </c>
      <c r="B336" s="7" t="e">
        <f>VLOOKUP(#REF!,[2]Sheet2!$A$1:$I$134,7,TRUE)</f>
        <v>#REF!</v>
      </c>
      <c r="C336" s="7" t="e">
        <f>VLOOKUP(#REF!,[2]Sheet2!$A$1:$I$134,8,TRUE)</f>
        <v>#REF!</v>
      </c>
      <c r="D336" s="14" t="s">
        <v>468</v>
      </c>
    </row>
    <row r="337" spans="1:4" ht="15.6" x14ac:dyDescent="0.3">
      <c r="A337" s="6" t="s">
        <v>325</v>
      </c>
      <c r="B337" s="7" t="e">
        <f>VLOOKUP(#REF!,[2]Sheet2!$A$1:$I$134,7,TRUE)</f>
        <v>#REF!</v>
      </c>
      <c r="C337" s="7" t="e">
        <f>VLOOKUP(#REF!,[2]Sheet2!$A$1:$I$134,8,TRUE)</f>
        <v>#REF!</v>
      </c>
      <c r="D337" s="14" t="s">
        <v>468</v>
      </c>
    </row>
    <row r="338" spans="1:4" ht="15.6" x14ac:dyDescent="0.3">
      <c r="A338" s="6" t="s">
        <v>326</v>
      </c>
      <c r="B338" s="7" t="e">
        <f>VLOOKUP(#REF!,[2]Sheet2!$A$1:$I$134,7,TRUE)</f>
        <v>#REF!</v>
      </c>
      <c r="C338" s="7" t="e">
        <f>VLOOKUP(#REF!,[2]Sheet2!$A$1:$I$134,8,TRUE)</f>
        <v>#REF!</v>
      </c>
      <c r="D338" s="14" t="s">
        <v>468</v>
      </c>
    </row>
    <row r="339" spans="1:4" ht="15.6" x14ac:dyDescent="0.3">
      <c r="A339" s="6" t="s">
        <v>327</v>
      </c>
      <c r="B339" s="7" t="e">
        <f>VLOOKUP(#REF!,[2]Sheet2!$A$1:$I$134,7,TRUE)</f>
        <v>#REF!</v>
      </c>
      <c r="C339" s="7" t="e">
        <f>VLOOKUP(#REF!,[2]Sheet2!$A$1:$I$134,8,TRUE)</f>
        <v>#REF!</v>
      </c>
      <c r="D339" s="14" t="s">
        <v>468</v>
      </c>
    </row>
    <row r="340" spans="1:4" ht="15.6" x14ac:dyDescent="0.3">
      <c r="A340" s="6" t="s">
        <v>328</v>
      </c>
      <c r="B340" s="7" t="e">
        <f>VLOOKUP(#REF!,[2]Sheet2!$A$1:$I$134,7,TRUE)</f>
        <v>#REF!</v>
      </c>
      <c r="C340" s="7" t="e">
        <f>VLOOKUP(#REF!,[2]Sheet2!$A$1:$I$134,8,TRUE)</f>
        <v>#REF!</v>
      </c>
      <c r="D340" s="14" t="s">
        <v>468</v>
      </c>
    </row>
    <row r="341" spans="1:4" ht="15.6" x14ac:dyDescent="0.3">
      <c r="A341" s="6" t="s">
        <v>329</v>
      </c>
      <c r="B341" s="7" t="e">
        <f>VLOOKUP(#REF!,[2]Sheet2!$A$1:$I$134,7,TRUE)</f>
        <v>#REF!</v>
      </c>
      <c r="C341" s="7" t="e">
        <f>VLOOKUP(#REF!,[2]Sheet2!$A$1:$I$134,8,TRUE)</f>
        <v>#REF!</v>
      </c>
      <c r="D341" s="14" t="s">
        <v>468</v>
      </c>
    </row>
    <row r="342" spans="1:4" ht="15.6" x14ac:dyDescent="0.3">
      <c r="A342" s="6" t="s">
        <v>330</v>
      </c>
      <c r="B342" s="7" t="e">
        <f>VLOOKUP(#REF!,[2]Sheet2!$A$1:$I$134,7,TRUE)</f>
        <v>#REF!</v>
      </c>
      <c r="C342" s="7" t="e">
        <f>VLOOKUP(#REF!,[2]Sheet2!$A$1:$I$134,8,TRUE)</f>
        <v>#REF!</v>
      </c>
      <c r="D342" s="14" t="s">
        <v>468</v>
      </c>
    </row>
    <row r="343" spans="1:4" ht="15.6" x14ac:dyDescent="0.3">
      <c r="A343" s="6" t="s">
        <v>331</v>
      </c>
      <c r="B343" s="7" t="e">
        <f>VLOOKUP(#REF!,[2]Sheet2!$A$1:$I$134,7,TRUE)</f>
        <v>#REF!</v>
      </c>
      <c r="C343" s="7" t="e">
        <f>VLOOKUP(#REF!,[2]Sheet2!$A$1:$I$134,8,TRUE)</f>
        <v>#REF!</v>
      </c>
      <c r="D343" s="14" t="s">
        <v>468</v>
      </c>
    </row>
    <row r="344" spans="1:4" ht="15.6" x14ac:dyDescent="0.3">
      <c r="A344" s="6" t="s">
        <v>332</v>
      </c>
      <c r="B344" s="7" t="e">
        <f>VLOOKUP(#REF!,[2]Sheet2!$A$1:$I$134,7,TRUE)</f>
        <v>#REF!</v>
      </c>
      <c r="C344" s="7" t="e">
        <f>VLOOKUP(#REF!,[2]Sheet2!$A$1:$I$134,8,TRUE)</f>
        <v>#REF!</v>
      </c>
      <c r="D344" s="14" t="s">
        <v>468</v>
      </c>
    </row>
    <row r="345" spans="1:4" ht="15.6" x14ac:dyDescent="0.3">
      <c r="A345" s="6" t="s">
        <v>333</v>
      </c>
      <c r="B345" s="7" t="e">
        <f>VLOOKUP(#REF!,[2]Sheet2!$A$1:$I$134,7,TRUE)</f>
        <v>#REF!</v>
      </c>
      <c r="C345" s="7" t="e">
        <f>VLOOKUP(#REF!,[2]Sheet2!$A$1:$I$134,8,TRUE)</f>
        <v>#REF!</v>
      </c>
      <c r="D345" s="14" t="s">
        <v>468</v>
      </c>
    </row>
    <row r="346" spans="1:4" ht="15.6" x14ac:dyDescent="0.3">
      <c r="A346" s="6" t="s">
        <v>334</v>
      </c>
      <c r="B346" s="7" t="e">
        <f>VLOOKUP(#REF!,[2]Sheet2!$A$1:$I$134,7,TRUE)</f>
        <v>#REF!</v>
      </c>
      <c r="C346" s="7" t="e">
        <f>VLOOKUP(#REF!,[2]Sheet2!$A$1:$I$134,8,TRUE)</f>
        <v>#REF!</v>
      </c>
      <c r="D346" s="14" t="s">
        <v>468</v>
      </c>
    </row>
    <row r="347" spans="1:4" ht="15.6" x14ac:dyDescent="0.3">
      <c r="A347" s="6" t="s">
        <v>335</v>
      </c>
      <c r="B347" s="7" t="e">
        <f>VLOOKUP(#REF!,[2]Sheet2!$A$1:$I$134,7,TRUE)</f>
        <v>#REF!</v>
      </c>
      <c r="C347" s="7" t="e">
        <f>VLOOKUP(#REF!,[2]Sheet2!$A$1:$I$134,8,TRUE)</f>
        <v>#REF!</v>
      </c>
      <c r="D347" s="14" t="s">
        <v>468</v>
      </c>
    </row>
    <row r="348" spans="1:4" ht="15.6" x14ac:dyDescent="0.3">
      <c r="A348" s="6" t="s">
        <v>336</v>
      </c>
      <c r="B348" s="7" t="e">
        <f>VLOOKUP(#REF!,[2]Sheet2!$A$1:$I$134,7,TRUE)</f>
        <v>#REF!</v>
      </c>
      <c r="C348" s="7" t="e">
        <f>VLOOKUP(#REF!,[2]Sheet2!$A$1:$I$134,8,TRUE)</f>
        <v>#REF!</v>
      </c>
      <c r="D348" s="14" t="s">
        <v>468</v>
      </c>
    </row>
    <row r="349" spans="1:4" ht="15.6" x14ac:dyDescent="0.3">
      <c r="A349" s="6" t="s">
        <v>337</v>
      </c>
      <c r="B349" s="7" t="e">
        <f>VLOOKUP(#REF!,[2]Sheet2!$A$1:$I$134,7,TRUE)</f>
        <v>#REF!</v>
      </c>
      <c r="C349" s="7" t="e">
        <f>VLOOKUP(#REF!,[2]Sheet2!$A$1:$I$134,8,TRUE)</f>
        <v>#REF!</v>
      </c>
      <c r="D349" s="14" t="s">
        <v>468</v>
      </c>
    </row>
    <row r="350" spans="1:4" ht="15.6" x14ac:dyDescent="0.3">
      <c r="A350" s="6" t="s">
        <v>338</v>
      </c>
      <c r="B350" s="7" t="e">
        <f>VLOOKUP(#REF!,[2]Sheet2!$A$1:$I$134,7,TRUE)</f>
        <v>#REF!</v>
      </c>
      <c r="C350" s="7" t="e">
        <f>VLOOKUP(#REF!,[2]Sheet2!$A$1:$I$134,8,TRUE)</f>
        <v>#REF!</v>
      </c>
      <c r="D350" s="14" t="s">
        <v>468</v>
      </c>
    </row>
    <row r="351" spans="1:4" ht="15.6" x14ac:dyDescent="0.3">
      <c r="A351" s="6" t="s">
        <v>339</v>
      </c>
      <c r="B351" s="7" t="e">
        <f>VLOOKUP(#REF!,[2]Sheet2!$A$1:$I$134,7,TRUE)</f>
        <v>#REF!</v>
      </c>
      <c r="C351" s="7" t="e">
        <f>VLOOKUP(#REF!,[2]Sheet2!$A$1:$I$134,8,TRUE)</f>
        <v>#REF!</v>
      </c>
      <c r="D351" s="14" t="s">
        <v>468</v>
      </c>
    </row>
    <row r="352" spans="1:4" ht="15.6" x14ac:dyDescent="0.3">
      <c r="A352" s="6" t="s">
        <v>340</v>
      </c>
      <c r="B352" s="7" t="e">
        <f>VLOOKUP(#REF!,[2]Sheet2!$A$1:$I$134,7,TRUE)</f>
        <v>#REF!</v>
      </c>
      <c r="C352" s="7" t="e">
        <f>VLOOKUP(#REF!,[2]Sheet2!$A$1:$I$134,8,TRUE)</f>
        <v>#REF!</v>
      </c>
      <c r="D352" s="14" t="s">
        <v>468</v>
      </c>
    </row>
    <row r="353" spans="1:4" ht="15.6" x14ac:dyDescent="0.3">
      <c r="A353" s="6" t="s">
        <v>341</v>
      </c>
      <c r="B353" s="7" t="e">
        <f>VLOOKUP(#REF!,[2]Sheet2!$A$1:$I$134,7,TRUE)</f>
        <v>#REF!</v>
      </c>
      <c r="C353" s="7" t="e">
        <f>VLOOKUP(#REF!,[2]Sheet2!$A$1:$I$134,8,TRUE)</f>
        <v>#REF!</v>
      </c>
      <c r="D353" s="14" t="s">
        <v>468</v>
      </c>
    </row>
    <row r="354" spans="1:4" ht="15.6" x14ac:dyDescent="0.3">
      <c r="A354" s="6" t="s">
        <v>342</v>
      </c>
      <c r="B354" s="7" t="e">
        <f>VLOOKUP(#REF!,[2]Sheet2!$A$1:$I$134,7,TRUE)</f>
        <v>#REF!</v>
      </c>
      <c r="C354" s="7" t="e">
        <f>VLOOKUP(#REF!,[2]Sheet2!$A$1:$I$134,8,TRUE)</f>
        <v>#REF!</v>
      </c>
      <c r="D354" s="14" t="s">
        <v>468</v>
      </c>
    </row>
    <row r="355" spans="1:4" ht="15.6" x14ac:dyDescent="0.3">
      <c r="A355" s="6" t="s">
        <v>343</v>
      </c>
      <c r="B355" s="7" t="e">
        <f>VLOOKUP(#REF!,[2]Sheet2!$A$1:$I$134,7,TRUE)</f>
        <v>#REF!</v>
      </c>
      <c r="C355" s="7" t="e">
        <f>VLOOKUP(#REF!,[2]Sheet2!$A$1:$I$134,8,TRUE)</f>
        <v>#REF!</v>
      </c>
      <c r="D355" s="14" t="s">
        <v>468</v>
      </c>
    </row>
    <row r="356" spans="1:4" ht="15.6" x14ac:dyDescent="0.3">
      <c r="A356" s="6" t="s">
        <v>306</v>
      </c>
      <c r="B356" s="7" t="e">
        <f>VLOOKUP(#REF!,[2]Sheet2!$A$1:$I$134,7,TRUE)</f>
        <v>#REF!</v>
      </c>
      <c r="C356" s="7" t="e">
        <f>VLOOKUP(#REF!,[2]Sheet2!$A$1:$I$134,8,TRUE)</f>
        <v>#REF!</v>
      </c>
      <c r="D356" s="14" t="s">
        <v>468</v>
      </c>
    </row>
    <row r="357" spans="1:4" ht="15.6" x14ac:dyDescent="0.3">
      <c r="A357" s="6" t="s">
        <v>307</v>
      </c>
      <c r="B357" s="7" t="e">
        <f>VLOOKUP(#REF!,[2]Sheet2!$A$1:$I$134,7,TRUE)</f>
        <v>#REF!</v>
      </c>
      <c r="C357" s="7" t="e">
        <f>VLOOKUP(#REF!,[2]Sheet2!$A$1:$I$134,8,TRUE)</f>
        <v>#REF!</v>
      </c>
      <c r="D357" s="14" t="s">
        <v>468</v>
      </c>
    </row>
    <row r="358" spans="1:4" ht="15.6" x14ac:dyDescent="0.3">
      <c r="A358" s="6" t="s">
        <v>308</v>
      </c>
      <c r="B358" s="7" t="e">
        <f>VLOOKUP(#REF!,[2]Sheet2!$A$1:$I$134,7,TRUE)</f>
        <v>#REF!</v>
      </c>
      <c r="C358" s="7" t="e">
        <f>VLOOKUP(#REF!,[2]Sheet2!$A$1:$I$134,8,TRUE)</f>
        <v>#REF!</v>
      </c>
      <c r="D358" s="14" t="s">
        <v>468</v>
      </c>
    </row>
    <row r="359" spans="1:4" ht="15.6" x14ac:dyDescent="0.3">
      <c r="A359" s="6" t="s">
        <v>309</v>
      </c>
      <c r="B359" s="7" t="e">
        <f>VLOOKUP(#REF!,[2]Sheet2!$A$1:$I$134,7,TRUE)</f>
        <v>#REF!</v>
      </c>
      <c r="C359" s="7" t="e">
        <f>VLOOKUP(#REF!,[2]Sheet2!$A$1:$I$134,8,TRUE)</f>
        <v>#REF!</v>
      </c>
      <c r="D359" s="14" t="s">
        <v>468</v>
      </c>
    </row>
    <row r="360" spans="1:4" ht="15.6" x14ac:dyDescent="0.3">
      <c r="A360" s="6" t="s">
        <v>310</v>
      </c>
      <c r="B360" s="7" t="e">
        <f>VLOOKUP(#REF!,[2]Sheet2!$A$1:$I$134,7,TRUE)</f>
        <v>#REF!</v>
      </c>
      <c r="C360" s="7" t="e">
        <f>VLOOKUP(#REF!,[2]Sheet2!$A$1:$I$134,8,TRUE)</f>
        <v>#REF!</v>
      </c>
      <c r="D360" s="14" t="s">
        <v>468</v>
      </c>
    </row>
    <row r="361" spans="1:4" ht="15.6" x14ac:dyDescent="0.3">
      <c r="A361" s="6" t="s">
        <v>311</v>
      </c>
      <c r="B361" s="7" t="e">
        <f>VLOOKUP(#REF!,[2]Sheet2!$A$1:$I$134,7,TRUE)</f>
        <v>#REF!</v>
      </c>
      <c r="C361" s="7" t="e">
        <f>VLOOKUP(#REF!,[2]Sheet2!$A$1:$I$134,8,TRUE)</f>
        <v>#REF!</v>
      </c>
      <c r="D361" s="14" t="s">
        <v>468</v>
      </c>
    </row>
    <row r="362" spans="1:4" ht="15.6" x14ac:dyDescent="0.3">
      <c r="A362" s="9" t="s">
        <v>344</v>
      </c>
      <c r="B362" s="7" t="e">
        <f>VLOOKUP(#REF!,[2]Sheet2!$A$1:$I$134,7,TRUE)</f>
        <v>#REF!</v>
      </c>
      <c r="C362" s="7" t="e">
        <f>VLOOKUP(#REF!,[2]Sheet2!$A$1:$I$134,8,TRUE)</f>
        <v>#REF!</v>
      </c>
      <c r="D362" s="14" t="s">
        <v>468</v>
      </c>
    </row>
    <row r="363" spans="1:4" ht="15.6" x14ac:dyDescent="0.3">
      <c r="A363" s="6" t="s">
        <v>345</v>
      </c>
      <c r="B363" s="7" t="e">
        <f>VLOOKUP(#REF!,[2]Sheet2!$A$1:$I$134,7,TRUE)</f>
        <v>#REF!</v>
      </c>
      <c r="C363" s="7" t="e">
        <f>VLOOKUP(#REF!,[2]Sheet2!$A$1:$I$134,8,TRUE)</f>
        <v>#REF!</v>
      </c>
      <c r="D363" s="14" t="s">
        <v>468</v>
      </c>
    </row>
    <row r="364" spans="1:4" ht="15.6" x14ac:dyDescent="0.3">
      <c r="A364" s="6" t="s">
        <v>346</v>
      </c>
      <c r="B364" s="7" t="e">
        <f>VLOOKUP(#REF!,[2]Sheet2!$A$1:$I$134,7,TRUE)</f>
        <v>#REF!</v>
      </c>
      <c r="C364" s="7" t="e">
        <f>VLOOKUP(#REF!,[2]Sheet2!$A$1:$I$134,8,TRUE)</f>
        <v>#REF!</v>
      </c>
      <c r="D364" s="14" t="s">
        <v>468</v>
      </c>
    </row>
    <row r="365" spans="1:4" ht="15.6" x14ac:dyDescent="0.3">
      <c r="A365" s="6" t="s">
        <v>347</v>
      </c>
      <c r="B365" s="7" t="e">
        <f>VLOOKUP(#REF!,[2]Sheet2!$A$1:$I$134,7,TRUE)</f>
        <v>#REF!</v>
      </c>
      <c r="C365" s="7" t="e">
        <f>VLOOKUP(#REF!,[2]Sheet2!$A$1:$I$134,8,TRUE)</f>
        <v>#REF!</v>
      </c>
      <c r="D365" s="14" t="s">
        <v>468</v>
      </c>
    </row>
    <row r="366" spans="1:4" ht="15.6" x14ac:dyDescent="0.3">
      <c r="A366" s="6" t="s">
        <v>348</v>
      </c>
      <c r="B366" s="7" t="e">
        <f>VLOOKUP(#REF!,[2]Sheet2!$A$1:$I$134,7,TRUE)</f>
        <v>#REF!</v>
      </c>
      <c r="C366" s="7" t="e">
        <f>VLOOKUP(#REF!,[2]Sheet2!$A$1:$I$134,8,TRUE)</f>
        <v>#REF!</v>
      </c>
      <c r="D366" s="14" t="s">
        <v>468</v>
      </c>
    </row>
    <row r="367" spans="1:4" ht="15.6" x14ac:dyDescent="0.3">
      <c r="A367" s="6" t="s">
        <v>349</v>
      </c>
      <c r="B367" s="7" t="e">
        <f>VLOOKUP(#REF!,[2]Sheet2!$A$1:$I$134,7,TRUE)</f>
        <v>#REF!</v>
      </c>
      <c r="C367" s="7" t="e">
        <f>VLOOKUP(#REF!,[2]Sheet2!$A$1:$I$134,8,TRUE)</f>
        <v>#REF!</v>
      </c>
      <c r="D367" s="14" t="s">
        <v>468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Fadli Nur Sabil</dc:creator>
  <cp:lastModifiedBy>Anas Fadli Nur Sabil</cp:lastModifiedBy>
  <dcterms:created xsi:type="dcterms:W3CDTF">2026-09-07T01:18:00Z</dcterms:created>
  <dcterms:modified xsi:type="dcterms:W3CDTF">2026-09-07T01:22:32Z</dcterms:modified>
</cp:coreProperties>
</file>