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yant.vlt01594\Downloads\"/>
    </mc:Choice>
  </mc:AlternateContent>
  <xr:revisionPtr revIDLastSave="0" documentId="13_ncr:1_{93057FC3-142B-4009-8397-EBF4015516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" sheetId="4" r:id="rId1"/>
    <sheet name="Sheet1" sheetId="1" r:id="rId2"/>
    <sheet name="Sheet2" sheetId="5" r:id="rId3"/>
    <sheet name="Sheet3" sheetId="6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Sheet1!$A$1:$P$1261</definedName>
    <definedName name="_xlnm._FilterDatabase" localSheetId="2" hidden="1">Sheet2!$A$1:$B$365</definedName>
    <definedName name="_xlnm._FilterDatabase" localSheetId="0" hidden="1">Sum!$A$1:$Z$365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5" l="1"/>
  <c r="B27" i="5"/>
  <c r="B28" i="5"/>
  <c r="B29" i="5"/>
  <c r="B30" i="5"/>
  <c r="B31" i="5"/>
  <c r="B32" i="5"/>
  <c r="B34" i="5"/>
  <c r="B39" i="5"/>
  <c r="B40" i="5"/>
  <c r="B41" i="5"/>
  <c r="B55" i="5"/>
  <c r="B57" i="5"/>
  <c r="B67" i="5"/>
  <c r="B80" i="5"/>
  <c r="B92" i="5"/>
  <c r="B95" i="5"/>
  <c r="B96" i="5"/>
  <c r="B99" i="5"/>
  <c r="B104" i="5"/>
  <c r="B131" i="5"/>
  <c r="B135" i="5"/>
  <c r="B136" i="5"/>
  <c r="B137" i="5"/>
  <c r="B150" i="5"/>
  <c r="B151" i="5"/>
  <c r="B152" i="5"/>
  <c r="B153" i="5"/>
  <c r="B163" i="5"/>
  <c r="B167" i="5"/>
  <c r="B184" i="5"/>
  <c r="B198" i="5"/>
  <c r="B199" i="5"/>
  <c r="B200" i="5"/>
  <c r="B232" i="5"/>
  <c r="B240" i="5"/>
  <c r="B246" i="5"/>
  <c r="B249" i="5"/>
  <c r="B252" i="5"/>
  <c r="B256" i="5"/>
  <c r="B297" i="5"/>
  <c r="B303" i="5"/>
  <c r="B304" i="5"/>
  <c r="B307" i="5"/>
  <c r="B316" i="5"/>
  <c r="B339" i="5"/>
  <c r="B342" i="5"/>
  <c r="B343" i="5"/>
  <c r="B344" i="5"/>
  <c r="B360" i="5"/>
  <c r="B8" i="5"/>
  <c r="B14" i="5"/>
  <c r="B17" i="5"/>
  <c r="B18" i="5"/>
  <c r="B19" i="5"/>
  <c r="B23" i="5"/>
  <c r="B25" i="5"/>
  <c r="B287" i="5"/>
  <c r="B20" i="5"/>
  <c r="B21" i="5"/>
  <c r="B22" i="5"/>
  <c r="B24" i="5"/>
  <c r="B84" i="5"/>
  <c r="B230" i="5"/>
  <c r="B286" i="5"/>
  <c r="B60" i="5"/>
  <c r="B61" i="5"/>
  <c r="B62" i="5"/>
  <c r="B63" i="5"/>
  <c r="B68" i="5"/>
  <c r="B69" i="5"/>
  <c r="B42" i="5"/>
  <c r="B43" i="5"/>
  <c r="B241" i="5"/>
  <c r="B251" i="5"/>
  <c r="B298" i="5"/>
  <c r="B278" i="5"/>
  <c r="B250" i="5"/>
  <c r="B323" i="5"/>
  <c r="B322" i="5"/>
  <c r="B116" i="5"/>
  <c r="B52" i="5"/>
  <c r="B106" i="5"/>
  <c r="B65" i="5"/>
  <c r="B203" i="5"/>
  <c r="B299" i="5"/>
  <c r="B358" i="5"/>
  <c r="B35" i="5"/>
  <c r="B36" i="5"/>
  <c r="B37" i="5"/>
  <c r="B205" i="5"/>
  <c r="B204" i="5"/>
  <c r="B202" i="5"/>
  <c r="B276" i="5"/>
  <c r="B2" i="5"/>
  <c r="B143" i="5"/>
  <c r="B144" i="5"/>
  <c r="B64" i="5"/>
  <c r="B113" i="5"/>
  <c r="B44" i="5"/>
  <c r="B133" i="5"/>
  <c r="B134" i="5"/>
  <c r="B59" i="5"/>
  <c r="B90" i="5"/>
  <c r="B85" i="5"/>
  <c r="B86" i="5"/>
  <c r="B225" i="5"/>
  <c r="B229" i="5"/>
  <c r="B215" i="5"/>
  <c r="B221" i="5"/>
  <c r="B58" i="5"/>
  <c r="B54" i="5"/>
  <c r="B56" i="5"/>
  <c r="B118" i="5"/>
  <c r="B138" i="5"/>
  <c r="B119" i="5"/>
  <c r="B219" i="5"/>
  <c r="B223" i="5"/>
  <c r="B227" i="5"/>
  <c r="B361" i="5"/>
  <c r="B201" i="5"/>
  <c r="B362" i="5"/>
  <c r="B53" i="5"/>
  <c r="B296" i="5"/>
  <c r="B319" i="5"/>
  <c r="B363" i="5"/>
  <c r="B188" i="5"/>
  <c r="B87" i="5"/>
  <c r="B91" i="5"/>
  <c r="B105" i="5"/>
  <c r="B66" i="5"/>
  <c r="B158" i="5"/>
  <c r="B159" i="5"/>
  <c r="B160" i="5"/>
  <c r="B162" i="5"/>
  <c r="B164" i="5"/>
  <c r="B187" i="5"/>
  <c r="B189" i="5"/>
  <c r="B245" i="5"/>
  <c r="B248" i="5"/>
  <c r="B244" i="5"/>
  <c r="B247" i="5"/>
  <c r="B234" i="5"/>
  <c r="B235" i="5"/>
  <c r="B243" i="5"/>
  <c r="B345" i="5"/>
  <c r="B346" i="5"/>
  <c r="B47" i="5"/>
  <c r="B46" i="5"/>
  <c r="B292" i="5"/>
  <c r="B321" i="5"/>
  <c r="B45" i="5"/>
  <c r="B51" i="5"/>
  <c r="B272" i="5"/>
  <c r="B70" i="5"/>
  <c r="B94" i="5"/>
  <c r="B107" i="5"/>
  <c r="B110" i="5"/>
  <c r="B111" i="5"/>
  <c r="B290" i="5"/>
  <c r="B291" i="5"/>
  <c r="B300" i="5"/>
  <c r="B340" i="5"/>
  <c r="B341" i="5"/>
  <c r="B347" i="5"/>
  <c r="B348" i="5"/>
  <c r="B349" i="5"/>
  <c r="B350" i="5"/>
  <c r="B351" i="5"/>
  <c r="B352" i="5"/>
  <c r="B49" i="5"/>
  <c r="B50" i="5"/>
  <c r="B74" i="5"/>
  <c r="B75" i="5"/>
  <c r="B77" i="5"/>
  <c r="B78" i="5"/>
  <c r="B76" i="5"/>
  <c r="B79" i="5"/>
  <c r="B88" i="5"/>
  <c r="B89" i="5"/>
  <c r="B93" i="5"/>
  <c r="B97" i="5"/>
  <c r="B98" i="5"/>
  <c r="B100" i="5"/>
  <c r="B101" i="5"/>
  <c r="B102" i="5"/>
  <c r="B103" i="5"/>
  <c r="B114" i="5"/>
  <c r="B117" i="5"/>
  <c r="B120" i="5"/>
  <c r="B121" i="5"/>
  <c r="B122" i="5"/>
  <c r="B123" i="5"/>
  <c r="B124" i="5"/>
  <c r="B127" i="5"/>
  <c r="B129" i="5"/>
  <c r="B132" i="5"/>
  <c r="B139" i="5"/>
  <c r="B140" i="5"/>
  <c r="B141" i="5"/>
  <c r="B142" i="5"/>
  <c r="B145" i="5"/>
  <c r="B148" i="5"/>
  <c r="B213" i="5"/>
  <c r="B214" i="5"/>
  <c r="B112" i="5"/>
  <c r="B125" i="5"/>
  <c r="B288" i="5"/>
  <c r="B289" i="5"/>
  <c r="B233" i="5"/>
  <c r="B273" i="5"/>
  <c r="B274" i="5"/>
  <c r="B147" i="5"/>
  <c r="B48" i="5"/>
  <c r="B73" i="5"/>
  <c r="B359" i="5"/>
  <c r="B364" i="5"/>
  <c r="B365" i="5"/>
  <c r="B128" i="5"/>
  <c r="B130" i="5"/>
  <c r="B71" i="5"/>
  <c r="B109" i="5"/>
  <c r="B146" i="5"/>
  <c r="B72" i="5"/>
  <c r="B193" i="5"/>
  <c r="B181" i="5"/>
  <c r="B177" i="5"/>
  <c r="B182" i="5"/>
  <c r="B176" i="5"/>
  <c r="B81" i="5"/>
  <c r="B108" i="5"/>
  <c r="B115" i="5"/>
  <c r="B126" i="5"/>
  <c r="B209" i="5"/>
  <c r="B210" i="5"/>
  <c r="B228" i="5"/>
  <c r="B236" i="5"/>
  <c r="B254" i="5"/>
  <c r="B258" i="5"/>
  <c r="B294" i="5"/>
  <c r="B295" i="5"/>
  <c r="B308" i="5"/>
  <c r="B309" i="5"/>
  <c r="B310" i="5"/>
  <c r="B315" i="5"/>
  <c r="B237" i="5"/>
  <c r="B239" i="5"/>
  <c r="B280" i="5"/>
  <c r="B284" i="5"/>
  <c r="B301" i="5"/>
  <c r="B305" i="5"/>
  <c r="B324" i="5"/>
  <c r="B327" i="5"/>
  <c r="B330" i="5"/>
  <c r="B332" i="5"/>
  <c r="B333" i="5"/>
  <c r="B336" i="5"/>
  <c r="B337" i="5"/>
  <c r="B3" i="5"/>
  <c r="B15" i="5"/>
  <c r="B206" i="5"/>
  <c r="B207" i="5"/>
  <c r="B208" i="5"/>
  <c r="B211" i="5"/>
  <c r="B212" i="5"/>
  <c r="B216" i="5"/>
  <c r="B220" i="5"/>
  <c r="B222" i="5"/>
  <c r="B224" i="5"/>
  <c r="B226" i="5"/>
  <c r="B231" i="5"/>
  <c r="B242" i="5"/>
  <c r="B255" i="5"/>
  <c r="B257" i="5"/>
  <c r="B259" i="5"/>
  <c r="B260" i="5"/>
  <c r="B261" i="5"/>
  <c r="B267" i="5"/>
  <c r="B268" i="5"/>
  <c r="B269" i="5"/>
  <c r="B271" i="5"/>
  <c r="B270" i="5"/>
  <c r="B311" i="5"/>
  <c r="B312" i="5"/>
  <c r="B313" i="5"/>
  <c r="B314" i="5"/>
  <c r="B317" i="5"/>
  <c r="B318" i="5"/>
  <c r="B353" i="5"/>
  <c r="B354" i="5"/>
  <c r="B355" i="5"/>
  <c r="B253" i="5"/>
  <c r="B262" i="5"/>
  <c r="B263" i="5"/>
  <c r="B264" i="5"/>
  <c r="B265" i="5"/>
  <c r="B266" i="5"/>
  <c r="B5" i="5"/>
  <c r="B6" i="5"/>
  <c r="B9" i="5"/>
  <c r="B16" i="5"/>
  <c r="B218" i="5"/>
  <c r="B281" i="5"/>
  <c r="B282" i="5"/>
  <c r="B283" i="5"/>
  <c r="B328" i="5"/>
  <c r="B10" i="5"/>
  <c r="B11" i="5"/>
  <c r="B12" i="5"/>
  <c r="B13" i="5"/>
  <c r="B33" i="5"/>
  <c r="B149" i="5"/>
  <c r="B155" i="5"/>
  <c r="B166" i="5"/>
  <c r="B168" i="5"/>
  <c r="B169" i="5"/>
  <c r="B170" i="5"/>
  <c r="B173" i="5"/>
  <c r="B175" i="5"/>
  <c r="B179" i="5"/>
  <c r="B183" i="5"/>
  <c r="B185" i="5"/>
  <c r="B190" i="5"/>
  <c r="B192" i="5"/>
  <c r="B195" i="5"/>
  <c r="B197" i="5"/>
  <c r="B196" i="5"/>
  <c r="B154" i="5"/>
  <c r="B172" i="5"/>
  <c r="B180" i="5"/>
  <c r="B186" i="5"/>
  <c r="B191" i="5"/>
  <c r="B194" i="5"/>
  <c r="B38" i="5"/>
  <c r="B178" i="5"/>
  <c r="B161" i="5"/>
  <c r="B165" i="5"/>
  <c r="B82" i="5"/>
  <c r="B356" i="5"/>
  <c r="B357" i="5"/>
  <c r="B217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2" i="4"/>
  <c r="B335" i="5" l="1"/>
  <c r="B4" i="5"/>
  <c r="B329" i="5"/>
  <c r="B326" i="5"/>
  <c r="B83" i="5"/>
  <c r="B275" i="5"/>
  <c r="B320" i="5"/>
  <c r="B156" i="5"/>
  <c r="B325" i="5"/>
  <c r="B293" i="5"/>
  <c r="B277" i="5"/>
  <c r="B279" i="5"/>
  <c r="B7" i="5"/>
  <c r="B338" i="5"/>
  <c r="B306" i="5"/>
  <c r="B334" i="5"/>
  <c r="B302" i="5"/>
  <c r="B238" i="5"/>
  <c r="B174" i="5"/>
  <c r="B285" i="5"/>
  <c r="B157" i="5"/>
  <c r="B331" i="5"/>
  <c r="B171" i="5"/>
  <c r="B121" i="4"/>
  <c r="Y189" i="4"/>
  <c r="Y190" i="4"/>
  <c r="Y191" i="4"/>
  <c r="Y232" i="4"/>
  <c r="Y290" i="4"/>
  <c r="Y291" i="4"/>
  <c r="Y292" i="4"/>
  <c r="Y91" i="4"/>
  <c r="Y92" i="4"/>
  <c r="Y233" i="4"/>
  <c r="Y234" i="4"/>
  <c r="Y293" i="4"/>
  <c r="Y235" i="4"/>
  <c r="Y192" i="4"/>
  <c r="Y294" i="4"/>
  <c r="Y279" i="4"/>
  <c r="Y81" i="4"/>
  <c r="Y280" i="4"/>
  <c r="Y295" i="4"/>
  <c r="Y193" i="4"/>
  <c r="Y236" i="4"/>
  <c r="Y237" i="4"/>
  <c r="Y74" i="4"/>
  <c r="Y206" i="4"/>
  <c r="Y82" i="4"/>
  <c r="Y238" i="4"/>
  <c r="Y296" i="4"/>
  <c r="Y297" i="4"/>
  <c r="Y239" i="4"/>
  <c r="Y240" i="4"/>
  <c r="Y194" i="4"/>
  <c r="Y195" i="4"/>
  <c r="Y242" i="4"/>
  <c r="Y196" i="4"/>
  <c r="Y243" i="4"/>
  <c r="Y207" i="4"/>
  <c r="Y208" i="4"/>
  <c r="Y209" i="4"/>
  <c r="Y300" i="4"/>
  <c r="Y197" i="4"/>
  <c r="Y210" i="4"/>
  <c r="Y155" i="4"/>
  <c r="Y156" i="4"/>
  <c r="Y301" i="4"/>
  <c r="Y302" i="4"/>
  <c r="Y303" i="4"/>
  <c r="Y304" i="4"/>
  <c r="Y93" i="4"/>
  <c r="Y305" i="4"/>
  <c r="Y59" i="4"/>
  <c r="Y306" i="4"/>
  <c r="Y179" i="4"/>
  <c r="Y50" i="4"/>
  <c r="Y307" i="4"/>
  <c r="Y157" i="4"/>
  <c r="Y308" i="4"/>
  <c r="Y158" i="4"/>
  <c r="Y309" i="4"/>
  <c r="Y310" i="4"/>
  <c r="Y159" i="4"/>
  <c r="Y311" i="4"/>
  <c r="Y312" i="4"/>
  <c r="Y160" i="4"/>
  <c r="Y180" i="4"/>
  <c r="Y313" i="4"/>
  <c r="Y198" i="4"/>
  <c r="Y314" i="4"/>
  <c r="Y315" i="4"/>
  <c r="Y316" i="4"/>
  <c r="Y317" i="4"/>
  <c r="Y318" i="4"/>
  <c r="Y75" i="4"/>
  <c r="Y319" i="4"/>
  <c r="Y320" i="4"/>
  <c r="Y94" i="4"/>
  <c r="Y321" i="4"/>
  <c r="Y85" i="4"/>
  <c r="Y199" i="4"/>
  <c r="Y46" i="4"/>
  <c r="Y161" i="4"/>
  <c r="Y162" i="4"/>
  <c r="Y245" i="4"/>
  <c r="Y95" i="4"/>
  <c r="Y181" i="4"/>
  <c r="Y96" i="4"/>
  <c r="Y86" i="4"/>
  <c r="Y246" i="4"/>
  <c r="Y87" i="4"/>
  <c r="Y88" i="4"/>
  <c r="Y89" i="4"/>
  <c r="Y324" i="4"/>
  <c r="Y150" i="4"/>
  <c r="Y164" i="4"/>
  <c r="Y97" i="4"/>
  <c r="Y98" i="4"/>
  <c r="Y99" i="4"/>
  <c r="Y51" i="4"/>
  <c r="Y100" i="4"/>
  <c r="Y325" i="4"/>
  <c r="Y101" i="4"/>
  <c r="Y102" i="4"/>
  <c r="Y130" i="4"/>
  <c r="Y182" i="4"/>
  <c r="Y76" i="4"/>
  <c r="Y326" i="4"/>
  <c r="Y103" i="4"/>
  <c r="Y247" i="4"/>
  <c r="Y327" i="4"/>
  <c r="Y183" i="4"/>
  <c r="Y328" i="4"/>
  <c r="Y329" i="4"/>
  <c r="Y188" i="4"/>
  <c r="Y90" i="4"/>
  <c r="Y165" i="4"/>
  <c r="Y330" i="4"/>
  <c r="Y331" i="4"/>
  <c r="Y77" i="4"/>
  <c r="Y104" i="4"/>
  <c r="Y105" i="4"/>
  <c r="Y107" i="4"/>
  <c r="Y108" i="4"/>
  <c r="Y332" i="4"/>
  <c r="Y333" i="4"/>
  <c r="Y334" i="4"/>
  <c r="Y335" i="4"/>
  <c r="Y109" i="4"/>
  <c r="Y110" i="4"/>
  <c r="Y111" i="4"/>
  <c r="Y112" i="4"/>
  <c r="Y114" i="4"/>
  <c r="Y115" i="4"/>
  <c r="Y131" i="4"/>
  <c r="Y78" i="4"/>
  <c r="Y200" i="4"/>
  <c r="Y336" i="4"/>
  <c r="Y117" i="4"/>
  <c r="Y337" i="4"/>
  <c r="Y79" i="4"/>
  <c r="Y118" i="4"/>
  <c r="Y119" i="4"/>
  <c r="Y120" i="4"/>
  <c r="Y121" i="4"/>
  <c r="Y80" i="4"/>
  <c r="Y338" i="4"/>
  <c r="Y339" i="4"/>
  <c r="Y211" i="4"/>
  <c r="Y212" i="4"/>
  <c r="Y213" i="4"/>
  <c r="Y340" i="4"/>
  <c r="Y341" i="4"/>
  <c r="Y342" i="4"/>
  <c r="Y343" i="4"/>
  <c r="Y344" i="4"/>
  <c r="Y345" i="4"/>
  <c r="Y346" i="4"/>
  <c r="Y347" i="4"/>
  <c r="Y348" i="4"/>
  <c r="Y349" i="4"/>
  <c r="Y350" i="4"/>
  <c r="Y282" i="4"/>
  <c r="Y228" i="4"/>
  <c r="Y283" i="4"/>
  <c r="Y351" i="4"/>
  <c r="Y352" i="4"/>
  <c r="Y353" i="4"/>
  <c r="Y284" i="4"/>
  <c r="Y285" i="4"/>
  <c r="Y354" i="4"/>
  <c r="Y166" i="4"/>
  <c r="Y167" i="4"/>
  <c r="Y355" i="4"/>
  <c r="Y229" i="4"/>
  <c r="Y184" i="4"/>
  <c r="Y151" i="4"/>
  <c r="Y152" i="4"/>
  <c r="Y153" i="4"/>
  <c r="Y154" i="4"/>
  <c r="Y254" i="4"/>
  <c r="Y255" i="4"/>
  <c r="Y66" i="4"/>
  <c r="Y71" i="4"/>
  <c r="Y356" i="4"/>
  <c r="Y72" i="4"/>
  <c r="Y122" i="4"/>
  <c r="Y357" i="4"/>
  <c r="Y256" i="4"/>
  <c r="Y67" i="4"/>
  <c r="Y47" i="4"/>
  <c r="Y359" i="4"/>
  <c r="Y146" i="4"/>
  <c r="Y258" i="4"/>
  <c r="Y259" i="4"/>
  <c r="Y260" i="4"/>
  <c r="Y261" i="4"/>
  <c r="Y262" i="4"/>
  <c r="Y263" i="4"/>
  <c r="Y264" i="4"/>
  <c r="Y360" i="4"/>
  <c r="Y227" i="4"/>
  <c r="Y266" i="4"/>
  <c r="Y267" i="4"/>
  <c r="Y201" i="4"/>
  <c r="Y268" i="4"/>
  <c r="Y269" i="4"/>
  <c r="Y123" i="4"/>
  <c r="Y361" i="4"/>
  <c r="Y362" i="4"/>
  <c r="Y363" i="4"/>
  <c r="Y364" i="4"/>
  <c r="Y270" i="4"/>
  <c r="Y271" i="4"/>
  <c r="Y73" i="4"/>
  <c r="Y38" i="4"/>
  <c r="Y39" i="4"/>
  <c r="Y281" i="4"/>
  <c r="Y272" i="4"/>
  <c r="Y273" i="4"/>
  <c r="Y214" i="4"/>
  <c r="Y215" i="4"/>
  <c r="Y216" i="4"/>
  <c r="Y218" i="4"/>
  <c r="Y168" i="4"/>
  <c r="Y185" i="4"/>
  <c r="Y169" i="4"/>
  <c r="Y219" i="4"/>
  <c r="Y220" i="4"/>
  <c r="Y221" i="4"/>
  <c r="Y222" i="4"/>
  <c r="Y170" i="4"/>
  <c r="Y171" i="4"/>
  <c r="Y365" i="4"/>
  <c r="Y172" i="4"/>
  <c r="Y223" i="4"/>
  <c r="Y224" i="4"/>
  <c r="Y70" i="4"/>
  <c r="Y225" i="4"/>
  <c r="Y226" i="4"/>
  <c r="Y186" i="4"/>
  <c r="Y173" i="4"/>
  <c r="Y288" i="4"/>
  <c r="Y289" i="4"/>
  <c r="Y124" i="4"/>
  <c r="Y48" i="4"/>
  <c r="Y49" i="4"/>
  <c r="Y125" i="4"/>
  <c r="Y126" i="4"/>
  <c r="Y127" i="4"/>
  <c r="Y128" i="4"/>
  <c r="Y187" i="4"/>
  <c r="Y174" i="4"/>
  <c r="Y45" i="4"/>
  <c r="Y176" i="4"/>
  <c r="Y175" i="4"/>
  <c r="Y177" i="4"/>
  <c r="Y129" i="4"/>
  <c r="Y178" i="4"/>
  <c r="Y132" i="4"/>
  <c r="Y231" i="4"/>
  <c r="U230" i="4"/>
  <c r="R3" i="4"/>
  <c r="S3" i="4"/>
  <c r="T3" i="4"/>
  <c r="R4" i="4"/>
  <c r="S4" i="4"/>
  <c r="T4" i="4"/>
  <c r="R132" i="4"/>
  <c r="S132" i="4"/>
  <c r="T132" i="4"/>
  <c r="U132" i="4"/>
  <c r="R231" i="4"/>
  <c r="S231" i="4"/>
  <c r="T231" i="4"/>
  <c r="U231" i="4"/>
  <c r="R275" i="4"/>
  <c r="S275" i="4"/>
  <c r="T275" i="4"/>
  <c r="U275" i="4"/>
  <c r="R276" i="4"/>
  <c r="S276" i="4"/>
  <c r="T276" i="4"/>
  <c r="U276" i="4"/>
  <c r="R5" i="4"/>
  <c r="S5" i="4"/>
  <c r="T5" i="4"/>
  <c r="R189" i="4"/>
  <c r="S189" i="4"/>
  <c r="T189" i="4"/>
  <c r="U189" i="4"/>
  <c r="R190" i="4"/>
  <c r="S190" i="4"/>
  <c r="T190" i="4"/>
  <c r="U190" i="4"/>
  <c r="R191" i="4"/>
  <c r="S191" i="4"/>
  <c r="T191" i="4"/>
  <c r="U191" i="4"/>
  <c r="R277" i="4"/>
  <c r="S277" i="4"/>
  <c r="T277" i="4"/>
  <c r="U277" i="4"/>
  <c r="R232" i="4"/>
  <c r="S232" i="4"/>
  <c r="T232" i="4"/>
  <c r="U232" i="4"/>
  <c r="R290" i="4"/>
  <c r="S290" i="4"/>
  <c r="T290" i="4"/>
  <c r="R291" i="4"/>
  <c r="S291" i="4"/>
  <c r="T291" i="4"/>
  <c r="R133" i="4"/>
  <c r="S133" i="4"/>
  <c r="T133" i="4"/>
  <c r="U133" i="4"/>
  <c r="R202" i="4"/>
  <c r="S202" i="4"/>
  <c r="T202" i="4"/>
  <c r="U202" i="4"/>
  <c r="R203" i="4"/>
  <c r="S203" i="4"/>
  <c r="T203" i="4"/>
  <c r="U203" i="4"/>
  <c r="R292" i="4"/>
  <c r="S292" i="4"/>
  <c r="T292" i="4"/>
  <c r="R40" i="4"/>
  <c r="S40" i="4"/>
  <c r="T40" i="4"/>
  <c r="U40" i="4"/>
  <c r="R278" i="4"/>
  <c r="S278" i="4"/>
  <c r="T278" i="4"/>
  <c r="U278" i="4"/>
  <c r="R91" i="4"/>
  <c r="S91" i="4"/>
  <c r="T91" i="4"/>
  <c r="U91" i="4"/>
  <c r="R92" i="4"/>
  <c r="S92" i="4"/>
  <c r="T92" i="4"/>
  <c r="U92" i="4"/>
  <c r="R233" i="4"/>
  <c r="S233" i="4"/>
  <c r="T233" i="4"/>
  <c r="U233" i="4"/>
  <c r="R234" i="4"/>
  <c r="S234" i="4"/>
  <c r="T234" i="4"/>
  <c r="U234" i="4"/>
  <c r="R204" i="4"/>
  <c r="S204" i="4"/>
  <c r="T204" i="4"/>
  <c r="U204" i="4"/>
  <c r="R293" i="4"/>
  <c r="S293" i="4"/>
  <c r="T293" i="4"/>
  <c r="R134" i="4"/>
  <c r="S134" i="4"/>
  <c r="T134" i="4"/>
  <c r="U134" i="4"/>
  <c r="R235" i="4"/>
  <c r="S235" i="4"/>
  <c r="T235" i="4"/>
  <c r="U235" i="4"/>
  <c r="R192" i="4"/>
  <c r="S192" i="4"/>
  <c r="T192" i="4"/>
  <c r="U192" i="4"/>
  <c r="R294" i="4"/>
  <c r="S294" i="4"/>
  <c r="T294" i="4"/>
  <c r="R279" i="4"/>
  <c r="S279" i="4"/>
  <c r="T279" i="4"/>
  <c r="U279" i="4"/>
  <c r="R81" i="4"/>
  <c r="S81" i="4"/>
  <c r="T81" i="4"/>
  <c r="U81" i="4"/>
  <c r="R6" i="4"/>
  <c r="S6" i="4"/>
  <c r="T6" i="4"/>
  <c r="U6" i="4"/>
  <c r="R280" i="4"/>
  <c r="S280" i="4"/>
  <c r="T280" i="4"/>
  <c r="U280" i="4"/>
  <c r="R205" i="4"/>
  <c r="S205" i="4"/>
  <c r="T205" i="4"/>
  <c r="U205" i="4"/>
  <c r="R295" i="4"/>
  <c r="S295" i="4"/>
  <c r="T295" i="4"/>
  <c r="R193" i="4"/>
  <c r="S193" i="4"/>
  <c r="T193" i="4"/>
  <c r="U193" i="4"/>
  <c r="R236" i="4"/>
  <c r="S236" i="4"/>
  <c r="T236" i="4"/>
  <c r="U236" i="4"/>
  <c r="R237" i="4"/>
  <c r="S237" i="4"/>
  <c r="T237" i="4"/>
  <c r="U237" i="4"/>
  <c r="R74" i="4"/>
  <c r="S74" i="4"/>
  <c r="T74" i="4"/>
  <c r="U74" i="4"/>
  <c r="R206" i="4"/>
  <c r="S206" i="4"/>
  <c r="T206" i="4"/>
  <c r="U206" i="4"/>
  <c r="R41" i="4"/>
  <c r="S41" i="4"/>
  <c r="T41" i="4"/>
  <c r="U41" i="4"/>
  <c r="R82" i="4"/>
  <c r="S82" i="4"/>
  <c r="T82" i="4"/>
  <c r="U82" i="4"/>
  <c r="R238" i="4"/>
  <c r="S238" i="4"/>
  <c r="T238" i="4"/>
  <c r="U238" i="4"/>
  <c r="R296" i="4"/>
  <c r="S296" i="4"/>
  <c r="T296" i="4"/>
  <c r="R297" i="4"/>
  <c r="S297" i="4"/>
  <c r="T297" i="4"/>
  <c r="U297" i="4"/>
  <c r="R239" i="4"/>
  <c r="S239" i="4"/>
  <c r="T239" i="4"/>
  <c r="U239" i="4"/>
  <c r="R240" i="4"/>
  <c r="S240" i="4"/>
  <c r="T240" i="4"/>
  <c r="U240" i="4"/>
  <c r="R241" i="4"/>
  <c r="S241" i="4"/>
  <c r="T241" i="4"/>
  <c r="U241" i="4"/>
  <c r="R298" i="4"/>
  <c r="S298" i="4"/>
  <c r="T298" i="4"/>
  <c r="R194" i="4"/>
  <c r="S194" i="4"/>
  <c r="T194" i="4"/>
  <c r="U194" i="4"/>
  <c r="R195" i="4"/>
  <c r="S195" i="4"/>
  <c r="T195" i="4"/>
  <c r="U195" i="4"/>
  <c r="R242" i="4"/>
  <c r="S242" i="4"/>
  <c r="T242" i="4"/>
  <c r="U242" i="4"/>
  <c r="R196" i="4"/>
  <c r="S196" i="4"/>
  <c r="T196" i="4"/>
  <c r="U196" i="4"/>
  <c r="R7" i="4"/>
  <c r="S7" i="4"/>
  <c r="T7" i="4"/>
  <c r="U7" i="4"/>
  <c r="R8" i="4"/>
  <c r="S8" i="4"/>
  <c r="T8" i="4"/>
  <c r="U8" i="4"/>
  <c r="R243" i="4"/>
  <c r="S243" i="4"/>
  <c r="T243" i="4"/>
  <c r="U243" i="4"/>
  <c r="R207" i="4"/>
  <c r="S207" i="4"/>
  <c r="T207" i="4"/>
  <c r="U207" i="4"/>
  <c r="R208" i="4"/>
  <c r="S208" i="4"/>
  <c r="T208" i="4"/>
  <c r="U208" i="4"/>
  <c r="R209" i="4"/>
  <c r="S209" i="4"/>
  <c r="T209" i="4"/>
  <c r="U209" i="4"/>
  <c r="R299" i="4"/>
  <c r="S299" i="4"/>
  <c r="T299" i="4"/>
  <c r="R300" i="4"/>
  <c r="S300" i="4"/>
  <c r="T300" i="4"/>
  <c r="R197" i="4"/>
  <c r="S197" i="4"/>
  <c r="T197" i="4"/>
  <c r="U197" i="4"/>
  <c r="R210" i="4"/>
  <c r="S210" i="4"/>
  <c r="T210" i="4"/>
  <c r="U210" i="4"/>
  <c r="R155" i="4"/>
  <c r="S155" i="4"/>
  <c r="T155" i="4"/>
  <c r="U155" i="4"/>
  <c r="R156" i="4"/>
  <c r="S156" i="4"/>
  <c r="T156" i="4"/>
  <c r="U156" i="4"/>
  <c r="R301" i="4"/>
  <c r="S301" i="4"/>
  <c r="T301" i="4"/>
  <c r="U301" i="4"/>
  <c r="R302" i="4"/>
  <c r="S302" i="4"/>
  <c r="T302" i="4"/>
  <c r="R9" i="4"/>
  <c r="S9" i="4"/>
  <c r="T9" i="4"/>
  <c r="U9" i="4"/>
  <c r="R303" i="4"/>
  <c r="S303" i="4"/>
  <c r="T303" i="4"/>
  <c r="U303" i="4"/>
  <c r="R304" i="4"/>
  <c r="S304" i="4"/>
  <c r="T304" i="4"/>
  <c r="U304" i="4"/>
  <c r="R93" i="4"/>
  <c r="S93" i="4"/>
  <c r="T93" i="4"/>
  <c r="U93" i="4"/>
  <c r="R305" i="4"/>
  <c r="S305" i="4"/>
  <c r="T305" i="4"/>
  <c r="U305" i="4"/>
  <c r="R59" i="4"/>
  <c r="S59" i="4"/>
  <c r="T59" i="4"/>
  <c r="U59" i="4"/>
  <c r="R306" i="4"/>
  <c r="S306" i="4"/>
  <c r="T306" i="4"/>
  <c r="R179" i="4"/>
  <c r="S179" i="4"/>
  <c r="T179" i="4"/>
  <c r="U179" i="4"/>
  <c r="R50" i="4"/>
  <c r="S50" i="4"/>
  <c r="T50" i="4"/>
  <c r="U50" i="4"/>
  <c r="R244" i="4"/>
  <c r="S244" i="4"/>
  <c r="T244" i="4"/>
  <c r="U244" i="4"/>
  <c r="R307" i="4"/>
  <c r="S307" i="4"/>
  <c r="T307" i="4"/>
  <c r="R10" i="4"/>
  <c r="S10" i="4"/>
  <c r="T10" i="4"/>
  <c r="U10" i="4"/>
  <c r="R157" i="4"/>
  <c r="S157" i="4"/>
  <c r="T157" i="4"/>
  <c r="U157" i="4"/>
  <c r="R308" i="4"/>
  <c r="S308" i="4"/>
  <c r="T308" i="4"/>
  <c r="U308" i="4"/>
  <c r="R158" i="4"/>
  <c r="S158" i="4"/>
  <c r="T158" i="4"/>
  <c r="U158" i="4"/>
  <c r="R309" i="4"/>
  <c r="S309" i="4"/>
  <c r="T309" i="4"/>
  <c r="U309" i="4"/>
  <c r="R60" i="4"/>
  <c r="S60" i="4"/>
  <c r="T60" i="4"/>
  <c r="U60" i="4"/>
  <c r="R310" i="4"/>
  <c r="S310" i="4"/>
  <c r="T310" i="4"/>
  <c r="U310" i="4"/>
  <c r="R159" i="4"/>
  <c r="S159" i="4"/>
  <c r="T159" i="4"/>
  <c r="U159" i="4"/>
  <c r="R311" i="4"/>
  <c r="S311" i="4"/>
  <c r="T311" i="4"/>
  <c r="U311" i="4"/>
  <c r="R312" i="4"/>
  <c r="S312" i="4"/>
  <c r="T312" i="4"/>
  <c r="U312" i="4"/>
  <c r="R160" i="4"/>
  <c r="S160" i="4"/>
  <c r="T160" i="4"/>
  <c r="U160" i="4"/>
  <c r="R83" i="4"/>
  <c r="S83" i="4"/>
  <c r="T83" i="4"/>
  <c r="U83" i="4"/>
  <c r="R61" i="4"/>
  <c r="S61" i="4"/>
  <c r="T61" i="4"/>
  <c r="U61" i="4"/>
  <c r="R84" i="4"/>
  <c r="S84" i="4"/>
  <c r="T84" i="4"/>
  <c r="U84" i="4"/>
  <c r="R180" i="4"/>
  <c r="S180" i="4"/>
  <c r="T180" i="4"/>
  <c r="U180" i="4"/>
  <c r="R313" i="4"/>
  <c r="S313" i="4"/>
  <c r="T313" i="4"/>
  <c r="U313" i="4"/>
  <c r="R198" i="4"/>
  <c r="S198" i="4"/>
  <c r="T198" i="4"/>
  <c r="U198" i="4"/>
  <c r="R314" i="4"/>
  <c r="S314" i="4"/>
  <c r="T314" i="4"/>
  <c r="U314" i="4"/>
  <c r="R315" i="4"/>
  <c r="S315" i="4"/>
  <c r="T315" i="4"/>
  <c r="U315" i="4"/>
  <c r="R316" i="4"/>
  <c r="S316" i="4"/>
  <c r="T316" i="4"/>
  <c r="U316" i="4"/>
  <c r="R62" i="4"/>
  <c r="S62" i="4"/>
  <c r="T62" i="4"/>
  <c r="U62" i="4"/>
  <c r="R317" i="4"/>
  <c r="S317" i="4"/>
  <c r="T317" i="4"/>
  <c r="R318" i="4"/>
  <c r="S318" i="4"/>
  <c r="T318" i="4"/>
  <c r="U318" i="4"/>
  <c r="R75" i="4"/>
  <c r="S75" i="4"/>
  <c r="T75" i="4"/>
  <c r="U75" i="4"/>
  <c r="R319" i="4"/>
  <c r="S319" i="4"/>
  <c r="T319" i="4"/>
  <c r="U319" i="4"/>
  <c r="R320" i="4"/>
  <c r="S320" i="4"/>
  <c r="T320" i="4"/>
  <c r="U320" i="4"/>
  <c r="R94" i="4"/>
  <c r="S94" i="4"/>
  <c r="T94" i="4"/>
  <c r="U94" i="4"/>
  <c r="R321" i="4"/>
  <c r="S321" i="4"/>
  <c r="T321" i="4"/>
  <c r="U321" i="4"/>
  <c r="R85" i="4"/>
  <c r="S85" i="4"/>
  <c r="T85" i="4"/>
  <c r="U85" i="4"/>
  <c r="R199" i="4"/>
  <c r="S199" i="4"/>
  <c r="T199" i="4"/>
  <c r="U199" i="4"/>
  <c r="R46" i="4"/>
  <c r="S46" i="4"/>
  <c r="T46" i="4"/>
  <c r="U46" i="4"/>
  <c r="R322" i="4"/>
  <c r="S322" i="4"/>
  <c r="T322" i="4"/>
  <c r="U322" i="4"/>
  <c r="R52" i="4"/>
  <c r="S52" i="4"/>
  <c r="T52" i="4"/>
  <c r="U52" i="4"/>
  <c r="R55" i="4"/>
  <c r="S55" i="4"/>
  <c r="T55" i="4"/>
  <c r="U55" i="4"/>
  <c r="R161" i="4"/>
  <c r="S161" i="4"/>
  <c r="T161" i="4"/>
  <c r="U161" i="4"/>
  <c r="R323" i="4"/>
  <c r="S323" i="4"/>
  <c r="T323" i="4"/>
  <c r="R162" i="4"/>
  <c r="S162" i="4"/>
  <c r="T162" i="4"/>
  <c r="U162" i="4"/>
  <c r="R245" i="4"/>
  <c r="S245" i="4"/>
  <c r="T245" i="4"/>
  <c r="U245" i="4"/>
  <c r="R95" i="4"/>
  <c r="S95" i="4"/>
  <c r="T95" i="4"/>
  <c r="U95" i="4"/>
  <c r="R11" i="4"/>
  <c r="S11" i="4"/>
  <c r="T11" i="4"/>
  <c r="R181" i="4"/>
  <c r="S181" i="4"/>
  <c r="T181" i="4"/>
  <c r="R96" i="4"/>
  <c r="S96" i="4"/>
  <c r="T96" i="4"/>
  <c r="U96" i="4"/>
  <c r="R86" i="4"/>
  <c r="S86" i="4"/>
  <c r="T86" i="4"/>
  <c r="U86" i="4"/>
  <c r="R63" i="4"/>
  <c r="S63" i="4"/>
  <c r="T63" i="4"/>
  <c r="U63" i="4"/>
  <c r="R246" i="4"/>
  <c r="S246" i="4"/>
  <c r="T246" i="4"/>
  <c r="U246" i="4"/>
  <c r="R87" i="4"/>
  <c r="S87" i="4"/>
  <c r="T87" i="4"/>
  <c r="U87" i="4"/>
  <c r="R88" i="4"/>
  <c r="S88" i="4"/>
  <c r="T88" i="4"/>
  <c r="U88" i="4"/>
  <c r="R89" i="4"/>
  <c r="S89" i="4"/>
  <c r="T89" i="4"/>
  <c r="U89" i="4"/>
  <c r="R163" i="4"/>
  <c r="S163" i="4"/>
  <c r="T163" i="4"/>
  <c r="R324" i="4"/>
  <c r="S324" i="4"/>
  <c r="T324" i="4"/>
  <c r="R150" i="4"/>
  <c r="S150" i="4"/>
  <c r="T150" i="4"/>
  <c r="U150" i="4"/>
  <c r="R164" i="4"/>
  <c r="S164" i="4"/>
  <c r="T164" i="4"/>
  <c r="U164" i="4"/>
  <c r="R135" i="4"/>
  <c r="S135" i="4"/>
  <c r="T135" i="4"/>
  <c r="U135" i="4"/>
  <c r="R97" i="4"/>
  <c r="S97" i="4"/>
  <c r="T97" i="4"/>
  <c r="U97" i="4"/>
  <c r="R98" i="4"/>
  <c r="S98" i="4"/>
  <c r="T98" i="4"/>
  <c r="U98" i="4"/>
  <c r="R99" i="4"/>
  <c r="S99" i="4"/>
  <c r="T99" i="4"/>
  <c r="U99" i="4"/>
  <c r="R51" i="4"/>
  <c r="S51" i="4"/>
  <c r="T51" i="4"/>
  <c r="U51" i="4"/>
  <c r="R100" i="4"/>
  <c r="S100" i="4"/>
  <c r="T100" i="4"/>
  <c r="U100" i="4"/>
  <c r="R325" i="4"/>
  <c r="S325" i="4"/>
  <c r="T325" i="4"/>
  <c r="U325" i="4"/>
  <c r="R56" i="4"/>
  <c r="S56" i="4"/>
  <c r="T56" i="4"/>
  <c r="U56" i="4"/>
  <c r="R101" i="4"/>
  <c r="S101" i="4"/>
  <c r="T101" i="4"/>
  <c r="U101" i="4"/>
  <c r="R102" i="4"/>
  <c r="S102" i="4"/>
  <c r="T102" i="4"/>
  <c r="U102" i="4"/>
  <c r="R57" i="4"/>
  <c r="S57" i="4"/>
  <c r="T57" i="4"/>
  <c r="U57" i="4"/>
  <c r="R130" i="4"/>
  <c r="S130" i="4"/>
  <c r="T130" i="4"/>
  <c r="U130" i="4"/>
  <c r="R182" i="4"/>
  <c r="S182" i="4"/>
  <c r="T182" i="4"/>
  <c r="U182" i="4"/>
  <c r="R12" i="4"/>
  <c r="S12" i="4"/>
  <c r="T12" i="4"/>
  <c r="U12" i="4"/>
  <c r="R76" i="4"/>
  <c r="S76" i="4"/>
  <c r="T76" i="4"/>
  <c r="U76" i="4"/>
  <c r="R326" i="4"/>
  <c r="S326" i="4"/>
  <c r="T326" i="4"/>
  <c r="U326" i="4"/>
  <c r="R103" i="4"/>
  <c r="S103" i="4"/>
  <c r="T103" i="4"/>
  <c r="U103" i="4"/>
  <c r="R247" i="4"/>
  <c r="S247" i="4"/>
  <c r="T247" i="4"/>
  <c r="U247" i="4"/>
  <c r="R327" i="4"/>
  <c r="S327" i="4"/>
  <c r="T327" i="4"/>
  <c r="U327" i="4"/>
  <c r="R183" i="4"/>
  <c r="S183" i="4"/>
  <c r="T183" i="4"/>
  <c r="U183" i="4"/>
  <c r="R58" i="4"/>
  <c r="S58" i="4"/>
  <c r="T58" i="4"/>
  <c r="U58" i="4"/>
  <c r="R328" i="4"/>
  <c r="S328" i="4"/>
  <c r="T328" i="4"/>
  <c r="U328" i="4"/>
  <c r="R329" i="4"/>
  <c r="S329" i="4"/>
  <c r="T329" i="4"/>
  <c r="U329" i="4"/>
  <c r="R188" i="4"/>
  <c r="S188" i="4"/>
  <c r="T188" i="4"/>
  <c r="U188" i="4"/>
  <c r="R90" i="4"/>
  <c r="S90" i="4"/>
  <c r="T90" i="4"/>
  <c r="U90" i="4"/>
  <c r="R165" i="4"/>
  <c r="S165" i="4"/>
  <c r="T165" i="4"/>
  <c r="U165" i="4"/>
  <c r="R330" i="4"/>
  <c r="S330" i="4"/>
  <c r="T330" i="4"/>
  <c r="R331" i="4"/>
  <c r="S331" i="4"/>
  <c r="T331" i="4"/>
  <c r="R77" i="4"/>
  <c r="S77" i="4"/>
  <c r="T77" i="4"/>
  <c r="U77" i="4"/>
  <c r="R104" i="4"/>
  <c r="S104" i="4"/>
  <c r="T104" i="4"/>
  <c r="U104" i="4"/>
  <c r="R105" i="4"/>
  <c r="S105" i="4"/>
  <c r="T105" i="4"/>
  <c r="U105" i="4"/>
  <c r="R106" i="4"/>
  <c r="S106" i="4"/>
  <c r="T106" i="4"/>
  <c r="U106" i="4"/>
  <c r="R107" i="4"/>
  <c r="S107" i="4"/>
  <c r="T107" i="4"/>
  <c r="U107" i="4"/>
  <c r="R108" i="4"/>
  <c r="S108" i="4"/>
  <c r="T108" i="4"/>
  <c r="U108" i="4"/>
  <c r="R332" i="4"/>
  <c r="S332" i="4"/>
  <c r="T332" i="4"/>
  <c r="U332" i="4"/>
  <c r="R333" i="4"/>
  <c r="S333" i="4"/>
  <c r="T333" i="4"/>
  <c r="U333" i="4"/>
  <c r="R334" i="4"/>
  <c r="S334" i="4"/>
  <c r="T334" i="4"/>
  <c r="U334" i="4"/>
  <c r="R335" i="4"/>
  <c r="S335" i="4"/>
  <c r="T335" i="4"/>
  <c r="R109" i="4"/>
  <c r="S109" i="4"/>
  <c r="T109" i="4"/>
  <c r="U109" i="4"/>
  <c r="R110" i="4"/>
  <c r="S110" i="4"/>
  <c r="T110" i="4"/>
  <c r="U110" i="4"/>
  <c r="R111" i="4"/>
  <c r="S111" i="4"/>
  <c r="T111" i="4"/>
  <c r="U111" i="4"/>
  <c r="R112" i="4"/>
  <c r="S112" i="4"/>
  <c r="T112" i="4"/>
  <c r="U112" i="4"/>
  <c r="R113" i="4"/>
  <c r="S113" i="4"/>
  <c r="T113" i="4"/>
  <c r="U113" i="4"/>
  <c r="R114" i="4"/>
  <c r="S114" i="4"/>
  <c r="T114" i="4"/>
  <c r="U114" i="4"/>
  <c r="R115" i="4"/>
  <c r="S115" i="4"/>
  <c r="T115" i="4"/>
  <c r="U115" i="4"/>
  <c r="R131" i="4"/>
  <c r="S131" i="4"/>
  <c r="T131" i="4"/>
  <c r="U131" i="4"/>
  <c r="R53" i="4"/>
  <c r="S53" i="4"/>
  <c r="T53" i="4"/>
  <c r="U53" i="4"/>
  <c r="R116" i="4"/>
  <c r="S116" i="4"/>
  <c r="T116" i="4"/>
  <c r="U116" i="4"/>
  <c r="R13" i="4"/>
  <c r="S13" i="4"/>
  <c r="T13" i="4"/>
  <c r="U13" i="4"/>
  <c r="R78" i="4"/>
  <c r="S78" i="4"/>
  <c r="T78" i="4"/>
  <c r="U78" i="4"/>
  <c r="R200" i="4"/>
  <c r="S200" i="4"/>
  <c r="T200" i="4"/>
  <c r="U200" i="4"/>
  <c r="R248" i="4"/>
  <c r="S248" i="4"/>
  <c r="T248" i="4"/>
  <c r="U248" i="4"/>
  <c r="R336" i="4"/>
  <c r="S336" i="4"/>
  <c r="T336" i="4"/>
  <c r="U336" i="4"/>
  <c r="R117" i="4"/>
  <c r="S117" i="4"/>
  <c r="T117" i="4"/>
  <c r="U117" i="4"/>
  <c r="R337" i="4"/>
  <c r="S337" i="4"/>
  <c r="T337" i="4"/>
  <c r="R79" i="4"/>
  <c r="S79" i="4"/>
  <c r="T79" i="4"/>
  <c r="U79" i="4"/>
  <c r="R118" i="4"/>
  <c r="S118" i="4"/>
  <c r="T118" i="4"/>
  <c r="U118" i="4"/>
  <c r="R119" i="4"/>
  <c r="S119" i="4"/>
  <c r="T119" i="4"/>
  <c r="U119" i="4"/>
  <c r="R120" i="4"/>
  <c r="S120" i="4"/>
  <c r="T120" i="4"/>
  <c r="U120" i="4"/>
  <c r="R121" i="4"/>
  <c r="S121" i="4"/>
  <c r="T121" i="4"/>
  <c r="U121" i="4"/>
  <c r="R80" i="4"/>
  <c r="S80" i="4"/>
  <c r="T80" i="4"/>
  <c r="U80" i="4"/>
  <c r="R338" i="4"/>
  <c r="S338" i="4"/>
  <c r="T338" i="4"/>
  <c r="U338" i="4"/>
  <c r="R339" i="4"/>
  <c r="S339" i="4"/>
  <c r="T339" i="4"/>
  <c r="U339" i="4"/>
  <c r="R14" i="4"/>
  <c r="S14" i="4"/>
  <c r="T14" i="4"/>
  <c r="R211" i="4"/>
  <c r="S211" i="4"/>
  <c r="T211" i="4"/>
  <c r="U211" i="4"/>
  <c r="R136" i="4"/>
  <c r="S136" i="4"/>
  <c r="T136" i="4"/>
  <c r="U136" i="4"/>
  <c r="R15" i="4"/>
  <c r="S15" i="4"/>
  <c r="T15" i="4"/>
  <c r="R16" i="4"/>
  <c r="S16" i="4"/>
  <c r="T16" i="4"/>
  <c r="R68" i="4"/>
  <c r="S68" i="4"/>
  <c r="T68" i="4"/>
  <c r="U68" i="4"/>
  <c r="R249" i="4"/>
  <c r="S249" i="4"/>
  <c r="T249" i="4"/>
  <c r="U249" i="4"/>
  <c r="R212" i="4"/>
  <c r="S212" i="4"/>
  <c r="T212" i="4"/>
  <c r="U212" i="4"/>
  <c r="R213" i="4"/>
  <c r="S213" i="4"/>
  <c r="T213" i="4"/>
  <c r="U213" i="4"/>
  <c r="R340" i="4"/>
  <c r="S340" i="4"/>
  <c r="T340" i="4"/>
  <c r="U340" i="4"/>
  <c r="R137" i="4"/>
  <c r="S137" i="4"/>
  <c r="T137" i="4"/>
  <c r="R341" i="4"/>
  <c r="S341" i="4"/>
  <c r="T341" i="4"/>
  <c r="R17" i="4"/>
  <c r="S17" i="4"/>
  <c r="T17" i="4"/>
  <c r="U17" i="4"/>
  <c r="R18" i="4"/>
  <c r="S18" i="4"/>
  <c r="T18" i="4"/>
  <c r="R342" i="4"/>
  <c r="S342" i="4"/>
  <c r="T342" i="4"/>
  <c r="R343" i="4"/>
  <c r="S343" i="4"/>
  <c r="T343" i="4"/>
  <c r="R344" i="4"/>
  <c r="S344" i="4"/>
  <c r="T344" i="4"/>
  <c r="R345" i="4"/>
  <c r="S345" i="4"/>
  <c r="T345" i="4"/>
  <c r="R346" i="4"/>
  <c r="S346" i="4"/>
  <c r="T346" i="4"/>
  <c r="R347" i="4"/>
  <c r="S347" i="4"/>
  <c r="T347" i="4"/>
  <c r="U347" i="4"/>
  <c r="R348" i="4"/>
  <c r="S348" i="4"/>
  <c r="T348" i="4"/>
  <c r="R250" i="4"/>
  <c r="S250" i="4"/>
  <c r="T250" i="4"/>
  <c r="R349" i="4"/>
  <c r="S349" i="4"/>
  <c r="T349" i="4"/>
  <c r="R350" i="4"/>
  <c r="S350" i="4"/>
  <c r="T350" i="4"/>
  <c r="R282" i="4"/>
  <c r="S282" i="4"/>
  <c r="T282" i="4"/>
  <c r="U282" i="4"/>
  <c r="R138" i="4"/>
  <c r="S138" i="4"/>
  <c r="T138" i="4"/>
  <c r="U138" i="4"/>
  <c r="R251" i="4"/>
  <c r="S251" i="4"/>
  <c r="T251" i="4"/>
  <c r="U251" i="4"/>
  <c r="R228" i="4"/>
  <c r="S228" i="4"/>
  <c r="T228" i="4"/>
  <c r="U228" i="4"/>
  <c r="R283" i="4"/>
  <c r="S283" i="4"/>
  <c r="T283" i="4"/>
  <c r="U283" i="4"/>
  <c r="R351" i="4"/>
  <c r="S351" i="4"/>
  <c r="T351" i="4"/>
  <c r="U351" i="4"/>
  <c r="R139" i="4"/>
  <c r="S139" i="4"/>
  <c r="T139" i="4"/>
  <c r="R352" i="4"/>
  <c r="S352" i="4"/>
  <c r="T352" i="4"/>
  <c r="R353" i="4"/>
  <c r="S353" i="4"/>
  <c r="T353" i="4"/>
  <c r="R284" i="4"/>
  <c r="S284" i="4"/>
  <c r="T284" i="4"/>
  <c r="U284" i="4"/>
  <c r="R285" i="4"/>
  <c r="S285" i="4"/>
  <c r="T285" i="4"/>
  <c r="U285" i="4"/>
  <c r="R140" i="4"/>
  <c r="S140" i="4"/>
  <c r="T140" i="4"/>
  <c r="U140" i="4"/>
  <c r="R354" i="4"/>
  <c r="S354" i="4"/>
  <c r="T354" i="4"/>
  <c r="R19" i="4"/>
  <c r="S19" i="4"/>
  <c r="T19" i="4"/>
  <c r="U19" i="4"/>
  <c r="R20" i="4"/>
  <c r="S20" i="4"/>
  <c r="T20" i="4"/>
  <c r="U20" i="4"/>
  <c r="R166" i="4"/>
  <c r="S166" i="4"/>
  <c r="T166" i="4"/>
  <c r="U166" i="4"/>
  <c r="R141" i="4"/>
  <c r="S141" i="4"/>
  <c r="T141" i="4"/>
  <c r="R167" i="4"/>
  <c r="S167" i="4"/>
  <c r="T167" i="4"/>
  <c r="U167" i="4"/>
  <c r="R21" i="4"/>
  <c r="S21" i="4"/>
  <c r="T21" i="4"/>
  <c r="U21" i="4"/>
  <c r="R22" i="4"/>
  <c r="S22" i="4"/>
  <c r="T22" i="4"/>
  <c r="U22" i="4"/>
  <c r="R355" i="4"/>
  <c r="S355" i="4"/>
  <c r="T355" i="4"/>
  <c r="U355" i="4"/>
  <c r="R229" i="4"/>
  <c r="S229" i="4"/>
  <c r="T229" i="4"/>
  <c r="U229" i="4"/>
  <c r="R230" i="4"/>
  <c r="S230" i="4"/>
  <c r="T230" i="4"/>
  <c r="R23" i="4"/>
  <c r="S23" i="4"/>
  <c r="T23" i="4"/>
  <c r="R184" i="4"/>
  <c r="S184" i="4"/>
  <c r="T184" i="4"/>
  <c r="U184" i="4"/>
  <c r="R151" i="4"/>
  <c r="S151" i="4"/>
  <c r="T151" i="4"/>
  <c r="U151" i="4"/>
  <c r="R142" i="4"/>
  <c r="S142" i="4"/>
  <c r="T142" i="4"/>
  <c r="R252" i="4"/>
  <c r="S252" i="4"/>
  <c r="T252" i="4"/>
  <c r="R152" i="4"/>
  <c r="S152" i="4"/>
  <c r="T152" i="4"/>
  <c r="U152" i="4"/>
  <c r="R153" i="4"/>
  <c r="S153" i="4"/>
  <c r="T153" i="4"/>
  <c r="U153" i="4"/>
  <c r="R154" i="4"/>
  <c r="S154" i="4"/>
  <c r="T154" i="4"/>
  <c r="U154" i="4"/>
  <c r="R143" i="4"/>
  <c r="S143" i="4"/>
  <c r="T143" i="4"/>
  <c r="R253" i="4"/>
  <c r="S253" i="4"/>
  <c r="T253" i="4"/>
  <c r="R24" i="4"/>
  <c r="S24" i="4"/>
  <c r="T24" i="4"/>
  <c r="U24" i="4"/>
  <c r="R254" i="4"/>
  <c r="S254" i="4"/>
  <c r="T254" i="4"/>
  <c r="U254" i="4"/>
  <c r="R36" i="4"/>
  <c r="S36" i="4"/>
  <c r="T36" i="4"/>
  <c r="U36" i="4"/>
  <c r="R144" i="4"/>
  <c r="S144" i="4"/>
  <c r="T144" i="4"/>
  <c r="U144" i="4"/>
  <c r="R255" i="4"/>
  <c r="S255" i="4"/>
  <c r="T255" i="4"/>
  <c r="U255" i="4"/>
  <c r="R66" i="4"/>
  <c r="S66" i="4"/>
  <c r="T66" i="4"/>
  <c r="U66" i="4"/>
  <c r="R71" i="4"/>
  <c r="S71" i="4"/>
  <c r="T71" i="4"/>
  <c r="U71" i="4"/>
  <c r="R356" i="4"/>
  <c r="S356" i="4"/>
  <c r="T356" i="4"/>
  <c r="R72" i="4"/>
  <c r="S72" i="4"/>
  <c r="T72" i="4"/>
  <c r="U72" i="4"/>
  <c r="R122" i="4"/>
  <c r="S122" i="4"/>
  <c r="T122" i="4"/>
  <c r="U122" i="4"/>
  <c r="R25" i="4"/>
  <c r="S25" i="4"/>
  <c r="T25" i="4"/>
  <c r="U25" i="4"/>
  <c r="R43" i="4"/>
  <c r="S43" i="4"/>
  <c r="T43" i="4"/>
  <c r="U43" i="4"/>
  <c r="R26" i="4"/>
  <c r="S26" i="4"/>
  <c r="T26" i="4"/>
  <c r="U26" i="4"/>
  <c r="R357" i="4"/>
  <c r="S357" i="4"/>
  <c r="T357" i="4"/>
  <c r="R256" i="4"/>
  <c r="S256" i="4"/>
  <c r="T256" i="4"/>
  <c r="U256" i="4"/>
  <c r="R67" i="4"/>
  <c r="S67" i="4"/>
  <c r="T67" i="4"/>
  <c r="U67" i="4"/>
  <c r="R47" i="4"/>
  <c r="S47" i="4"/>
  <c r="T47" i="4"/>
  <c r="U47" i="4"/>
  <c r="R27" i="4"/>
  <c r="S27" i="4"/>
  <c r="T27" i="4"/>
  <c r="U27" i="4"/>
  <c r="R145" i="4"/>
  <c r="S145" i="4"/>
  <c r="T145" i="4"/>
  <c r="U145" i="4"/>
  <c r="R358" i="4"/>
  <c r="S358" i="4"/>
  <c r="T358" i="4"/>
  <c r="U358" i="4"/>
  <c r="R42" i="4"/>
  <c r="S42" i="4"/>
  <c r="T42" i="4"/>
  <c r="U42" i="4"/>
  <c r="R64" i="4"/>
  <c r="S64" i="4"/>
  <c r="T64" i="4"/>
  <c r="U64" i="4"/>
  <c r="R359" i="4"/>
  <c r="S359" i="4"/>
  <c r="T359" i="4"/>
  <c r="R146" i="4"/>
  <c r="S146" i="4"/>
  <c r="T146" i="4"/>
  <c r="U146" i="4"/>
  <c r="R257" i="4"/>
  <c r="S257" i="4"/>
  <c r="T257" i="4"/>
  <c r="R258" i="4"/>
  <c r="S258" i="4"/>
  <c r="T258" i="4"/>
  <c r="U258" i="4"/>
  <c r="R259" i="4"/>
  <c r="S259" i="4"/>
  <c r="T259" i="4"/>
  <c r="U259" i="4"/>
  <c r="R260" i="4"/>
  <c r="S260" i="4"/>
  <c r="T260" i="4"/>
  <c r="U260" i="4"/>
  <c r="R261" i="4"/>
  <c r="S261" i="4"/>
  <c r="T261" i="4"/>
  <c r="U261" i="4"/>
  <c r="R262" i="4"/>
  <c r="S262" i="4"/>
  <c r="T262" i="4"/>
  <c r="U262" i="4"/>
  <c r="R263" i="4"/>
  <c r="S263" i="4"/>
  <c r="T263" i="4"/>
  <c r="U263" i="4"/>
  <c r="R65" i="4"/>
  <c r="S65" i="4"/>
  <c r="T65" i="4"/>
  <c r="U65" i="4"/>
  <c r="R264" i="4"/>
  <c r="S264" i="4"/>
  <c r="T264" i="4"/>
  <c r="U264" i="4"/>
  <c r="R265" i="4"/>
  <c r="S265" i="4"/>
  <c r="T265" i="4"/>
  <c r="U265" i="4"/>
  <c r="R360" i="4"/>
  <c r="S360" i="4"/>
  <c r="T360" i="4"/>
  <c r="U360" i="4"/>
  <c r="R227" i="4"/>
  <c r="S227" i="4"/>
  <c r="T227" i="4"/>
  <c r="U227" i="4"/>
  <c r="R266" i="4"/>
  <c r="S266" i="4"/>
  <c r="T266" i="4"/>
  <c r="U266" i="4"/>
  <c r="R267" i="4"/>
  <c r="S267" i="4"/>
  <c r="T267" i="4"/>
  <c r="U267" i="4"/>
  <c r="R201" i="4"/>
  <c r="S201" i="4"/>
  <c r="T201" i="4"/>
  <c r="U201" i="4"/>
  <c r="R268" i="4"/>
  <c r="S268" i="4"/>
  <c r="T268" i="4"/>
  <c r="U268" i="4"/>
  <c r="R269" i="4"/>
  <c r="S269" i="4"/>
  <c r="T269" i="4"/>
  <c r="U269" i="4"/>
  <c r="R123" i="4"/>
  <c r="S123" i="4"/>
  <c r="T123" i="4"/>
  <c r="U123" i="4"/>
  <c r="R361" i="4"/>
  <c r="S361" i="4"/>
  <c r="T361" i="4"/>
  <c r="U361" i="4"/>
  <c r="R362" i="4"/>
  <c r="S362" i="4"/>
  <c r="T362" i="4"/>
  <c r="U362" i="4"/>
  <c r="R363" i="4"/>
  <c r="S363" i="4"/>
  <c r="T363" i="4"/>
  <c r="R364" i="4"/>
  <c r="S364" i="4"/>
  <c r="T364" i="4"/>
  <c r="R270" i="4"/>
  <c r="S270" i="4"/>
  <c r="T270" i="4"/>
  <c r="U270" i="4"/>
  <c r="R271" i="4"/>
  <c r="S271" i="4"/>
  <c r="T271" i="4"/>
  <c r="U271" i="4"/>
  <c r="R73" i="4"/>
  <c r="S73" i="4"/>
  <c r="T73" i="4"/>
  <c r="U73" i="4"/>
  <c r="R44" i="4"/>
  <c r="S44" i="4"/>
  <c r="T44" i="4"/>
  <c r="U44" i="4"/>
  <c r="R37" i="4"/>
  <c r="S37" i="4"/>
  <c r="T37" i="4"/>
  <c r="U37" i="4"/>
  <c r="R38" i="4"/>
  <c r="S38" i="4"/>
  <c r="T38" i="4"/>
  <c r="U38" i="4"/>
  <c r="R39" i="4"/>
  <c r="S39" i="4"/>
  <c r="T39" i="4"/>
  <c r="U39" i="4"/>
  <c r="R28" i="4"/>
  <c r="S28" i="4"/>
  <c r="T28" i="4"/>
  <c r="R29" i="4"/>
  <c r="S29" i="4"/>
  <c r="T29" i="4"/>
  <c r="U29" i="4"/>
  <c r="R147" i="4"/>
  <c r="S147" i="4"/>
  <c r="T147" i="4"/>
  <c r="R281" i="4"/>
  <c r="S281" i="4"/>
  <c r="T281" i="4"/>
  <c r="U281" i="4"/>
  <c r="R272" i="4"/>
  <c r="S272" i="4"/>
  <c r="T272" i="4"/>
  <c r="U272" i="4"/>
  <c r="R273" i="4"/>
  <c r="S273" i="4"/>
  <c r="T273" i="4"/>
  <c r="U273" i="4"/>
  <c r="R30" i="4"/>
  <c r="S30" i="4"/>
  <c r="T30" i="4"/>
  <c r="R214" i="4"/>
  <c r="S214" i="4"/>
  <c r="T214" i="4"/>
  <c r="U214" i="4"/>
  <c r="R215" i="4"/>
  <c r="S215" i="4"/>
  <c r="T215" i="4"/>
  <c r="U215" i="4"/>
  <c r="R216" i="4"/>
  <c r="S216" i="4"/>
  <c r="T216" i="4"/>
  <c r="U216" i="4"/>
  <c r="R217" i="4"/>
  <c r="S217" i="4"/>
  <c r="T217" i="4"/>
  <c r="U217" i="4"/>
  <c r="R218" i="4"/>
  <c r="S218" i="4"/>
  <c r="T218" i="4"/>
  <c r="U218" i="4"/>
  <c r="R168" i="4"/>
  <c r="S168" i="4"/>
  <c r="T168" i="4"/>
  <c r="U168" i="4"/>
  <c r="R185" i="4"/>
  <c r="S185" i="4"/>
  <c r="T185" i="4"/>
  <c r="U185" i="4"/>
  <c r="R169" i="4"/>
  <c r="S169" i="4"/>
  <c r="T169" i="4"/>
  <c r="U169" i="4"/>
  <c r="R219" i="4"/>
  <c r="S219" i="4"/>
  <c r="T219" i="4"/>
  <c r="U219" i="4"/>
  <c r="R220" i="4"/>
  <c r="S220" i="4"/>
  <c r="T220" i="4"/>
  <c r="U220" i="4"/>
  <c r="R221" i="4"/>
  <c r="S221" i="4"/>
  <c r="T221" i="4"/>
  <c r="U221" i="4"/>
  <c r="R222" i="4"/>
  <c r="S222" i="4"/>
  <c r="T222" i="4"/>
  <c r="U222" i="4"/>
  <c r="R31" i="4"/>
  <c r="S31" i="4"/>
  <c r="T31" i="4"/>
  <c r="R170" i="4"/>
  <c r="S170" i="4"/>
  <c r="T170" i="4"/>
  <c r="U170" i="4"/>
  <c r="R171" i="4"/>
  <c r="S171" i="4"/>
  <c r="T171" i="4"/>
  <c r="U171" i="4"/>
  <c r="R286" i="4"/>
  <c r="S286" i="4"/>
  <c r="T286" i="4"/>
  <c r="U286" i="4"/>
  <c r="R365" i="4"/>
  <c r="S365" i="4"/>
  <c r="T365" i="4"/>
  <c r="U365" i="4"/>
  <c r="R172" i="4"/>
  <c r="S172" i="4"/>
  <c r="T172" i="4"/>
  <c r="U172" i="4"/>
  <c r="R223" i="4"/>
  <c r="S223" i="4"/>
  <c r="T223" i="4"/>
  <c r="U223" i="4"/>
  <c r="R224" i="4"/>
  <c r="S224" i="4"/>
  <c r="T224" i="4"/>
  <c r="U224" i="4"/>
  <c r="R69" i="4"/>
  <c r="S69" i="4"/>
  <c r="T69" i="4"/>
  <c r="U69" i="4"/>
  <c r="R70" i="4"/>
  <c r="S70" i="4"/>
  <c r="T70" i="4"/>
  <c r="U70" i="4"/>
  <c r="R225" i="4"/>
  <c r="S225" i="4"/>
  <c r="T225" i="4"/>
  <c r="U225" i="4"/>
  <c r="R287" i="4"/>
  <c r="S287" i="4"/>
  <c r="T287" i="4"/>
  <c r="U287" i="4"/>
  <c r="R226" i="4"/>
  <c r="S226" i="4"/>
  <c r="T226" i="4"/>
  <c r="U226" i="4"/>
  <c r="R186" i="4"/>
  <c r="S186" i="4"/>
  <c r="T186" i="4"/>
  <c r="U186" i="4"/>
  <c r="R173" i="4"/>
  <c r="S173" i="4"/>
  <c r="T173" i="4"/>
  <c r="U173" i="4"/>
  <c r="R288" i="4"/>
  <c r="S288" i="4"/>
  <c r="T288" i="4"/>
  <c r="U288" i="4"/>
  <c r="R289" i="4"/>
  <c r="S289" i="4"/>
  <c r="T289" i="4"/>
  <c r="U289" i="4"/>
  <c r="R32" i="4"/>
  <c r="S32" i="4"/>
  <c r="T32" i="4"/>
  <c r="R148" i="4"/>
  <c r="S148" i="4"/>
  <c r="T148" i="4"/>
  <c r="R274" i="4"/>
  <c r="S274" i="4"/>
  <c r="T274" i="4"/>
  <c r="R33" i="4"/>
  <c r="S33" i="4"/>
  <c r="T33" i="4"/>
  <c r="R34" i="4"/>
  <c r="S34" i="4"/>
  <c r="T34" i="4"/>
  <c r="R149" i="4"/>
  <c r="S149" i="4"/>
  <c r="T149" i="4"/>
  <c r="R124" i="4"/>
  <c r="S124" i="4"/>
  <c r="T124" i="4"/>
  <c r="U124" i="4"/>
  <c r="R35" i="4"/>
  <c r="S35" i="4"/>
  <c r="T35" i="4"/>
  <c r="R48" i="4"/>
  <c r="S48" i="4"/>
  <c r="T48" i="4"/>
  <c r="U48" i="4"/>
  <c r="R49" i="4"/>
  <c r="S49" i="4"/>
  <c r="T49" i="4"/>
  <c r="U49" i="4"/>
  <c r="R125" i="4"/>
  <c r="S125" i="4"/>
  <c r="T125" i="4"/>
  <c r="U125" i="4"/>
  <c r="R126" i="4"/>
  <c r="S126" i="4"/>
  <c r="T126" i="4"/>
  <c r="U126" i="4"/>
  <c r="R127" i="4"/>
  <c r="S127" i="4"/>
  <c r="T127" i="4"/>
  <c r="U127" i="4"/>
  <c r="R54" i="4"/>
  <c r="S54" i="4"/>
  <c r="T54" i="4"/>
  <c r="U54" i="4"/>
  <c r="R128" i="4"/>
  <c r="S128" i="4"/>
  <c r="T128" i="4"/>
  <c r="U128" i="4"/>
  <c r="R187" i="4"/>
  <c r="S187" i="4"/>
  <c r="T187" i="4"/>
  <c r="U187" i="4"/>
  <c r="R174" i="4"/>
  <c r="S174" i="4"/>
  <c r="T174" i="4"/>
  <c r="U174" i="4"/>
  <c r="R45" i="4"/>
  <c r="S45" i="4"/>
  <c r="T45" i="4"/>
  <c r="U45" i="4"/>
  <c r="R176" i="4"/>
  <c r="S176" i="4"/>
  <c r="T176" i="4"/>
  <c r="R175" i="4"/>
  <c r="S175" i="4"/>
  <c r="T175" i="4"/>
  <c r="R177" i="4"/>
  <c r="S177" i="4"/>
  <c r="T177" i="4"/>
  <c r="R129" i="4"/>
  <c r="S129" i="4"/>
  <c r="T129" i="4"/>
  <c r="U129" i="4"/>
  <c r="R178" i="4"/>
  <c r="S178" i="4"/>
  <c r="T178" i="4"/>
  <c r="U178" i="4"/>
  <c r="T2" i="4"/>
  <c r="S2" i="4"/>
  <c r="R2" i="4"/>
  <c r="B37" i="4"/>
  <c r="N35" i="4"/>
  <c r="O35" i="4"/>
  <c r="Q3" i="4"/>
  <c r="N36" i="4"/>
  <c r="O36" i="4"/>
  <c r="Q4" i="4"/>
  <c r="N283" i="4"/>
  <c r="O283" i="4"/>
  <c r="Q132" i="4"/>
  <c r="N256" i="4"/>
  <c r="O256" i="4"/>
  <c r="Q231" i="4"/>
  <c r="N264" i="4"/>
  <c r="O264" i="4"/>
  <c r="Q275" i="4"/>
  <c r="N265" i="4"/>
  <c r="O265" i="4"/>
  <c r="Q276" i="4"/>
  <c r="N298" i="4"/>
  <c r="O298" i="4"/>
  <c r="Q5" i="4"/>
  <c r="N294" i="4"/>
  <c r="O294" i="4"/>
  <c r="Q189" i="4"/>
  <c r="N295" i="4"/>
  <c r="O295" i="4"/>
  <c r="Q190" i="4"/>
  <c r="N254" i="4"/>
  <c r="O254" i="4"/>
  <c r="Q191" i="4"/>
  <c r="N252" i="4"/>
  <c r="O252" i="4"/>
  <c r="Q277" i="4"/>
  <c r="N259" i="4"/>
  <c r="O259" i="4"/>
  <c r="Q232" i="4"/>
  <c r="N223" i="4"/>
  <c r="O223" i="4"/>
  <c r="Q290" i="4"/>
  <c r="N307" i="4"/>
  <c r="O307" i="4"/>
  <c r="Q291" i="4"/>
  <c r="N282" i="4"/>
  <c r="O282" i="4"/>
  <c r="Q133" i="4"/>
  <c r="N303" i="4"/>
  <c r="O303" i="4"/>
  <c r="Q202" i="4"/>
  <c r="N301" i="4"/>
  <c r="O301" i="4"/>
  <c r="Q203" i="4"/>
  <c r="N305" i="4"/>
  <c r="O305" i="4"/>
  <c r="N296" i="4"/>
  <c r="O296" i="4"/>
  <c r="Q292" i="4"/>
  <c r="N288" i="4"/>
  <c r="O288" i="4"/>
  <c r="Q40" i="4"/>
  <c r="N279" i="4"/>
  <c r="O279" i="4"/>
  <c r="N263" i="4"/>
  <c r="O263" i="4"/>
  <c r="Q278" i="4"/>
  <c r="N214" i="4"/>
  <c r="O214" i="4"/>
  <c r="Q91" i="4"/>
  <c r="N213" i="4"/>
  <c r="O213" i="4"/>
  <c r="Q92" i="4"/>
  <c r="N257" i="4"/>
  <c r="O257" i="4"/>
  <c r="Q233" i="4"/>
  <c r="N255" i="4"/>
  <c r="O255" i="4"/>
  <c r="Q234" i="4"/>
  <c r="N239" i="4"/>
  <c r="O239" i="4"/>
  <c r="Q204" i="4"/>
  <c r="Q293" i="4"/>
  <c r="N281" i="4"/>
  <c r="O281" i="4"/>
  <c r="Q134" i="4"/>
  <c r="N316" i="4"/>
  <c r="O316" i="4"/>
  <c r="Q235" i="4"/>
  <c r="N308" i="4"/>
  <c r="O308" i="4"/>
  <c r="Q192" i="4"/>
  <c r="Q294" i="4"/>
  <c r="N262" i="4"/>
  <c r="O262" i="4"/>
  <c r="Q279" i="4"/>
  <c r="N300" i="4"/>
  <c r="O300" i="4"/>
  <c r="Q81" i="4"/>
  <c r="N292" i="4"/>
  <c r="O292" i="4"/>
  <c r="N299" i="4"/>
  <c r="O299" i="4"/>
  <c r="Q6" i="4"/>
  <c r="N253" i="4"/>
  <c r="O253" i="4"/>
  <c r="Q280" i="4"/>
  <c r="N284" i="4"/>
  <c r="O284" i="4"/>
  <c r="Q205" i="4"/>
  <c r="Q295" i="4"/>
  <c r="N258" i="4"/>
  <c r="O258" i="4"/>
  <c r="Q193" i="4"/>
  <c r="N260" i="4"/>
  <c r="O260" i="4"/>
  <c r="Q236" i="4"/>
  <c r="N261" i="4"/>
  <c r="O261" i="4"/>
  <c r="Q237" i="4"/>
  <c r="N297" i="4"/>
  <c r="O297" i="4"/>
  <c r="Q74" i="4"/>
  <c r="N237" i="4"/>
  <c r="O237" i="4"/>
  <c r="Q206" i="4"/>
  <c r="N289" i="4"/>
  <c r="O289" i="4"/>
  <c r="Q41" i="4"/>
  <c r="N290" i="4"/>
  <c r="O290" i="4"/>
  <c r="Q82" i="4"/>
  <c r="N291" i="4"/>
  <c r="O291" i="4"/>
  <c r="N313" i="4"/>
  <c r="O313" i="4"/>
  <c r="Q238" i="4"/>
  <c r="Q296" i="4"/>
  <c r="N25" i="4"/>
  <c r="O25" i="4"/>
  <c r="Q297" i="4"/>
  <c r="N318" i="4"/>
  <c r="O318" i="4"/>
  <c r="Q239" i="4"/>
  <c r="N311" i="4"/>
  <c r="O311" i="4"/>
  <c r="Q240" i="4"/>
  <c r="N312" i="4"/>
  <c r="O312" i="4"/>
  <c r="Q241" i="4"/>
  <c r="N319" i="4"/>
  <c r="O319" i="4"/>
  <c r="Q298" i="4"/>
  <c r="N236" i="4"/>
  <c r="O236" i="4"/>
  <c r="Q194" i="4"/>
  <c r="N249" i="4"/>
  <c r="O249" i="4"/>
  <c r="Q195" i="4"/>
  <c r="N317" i="4"/>
  <c r="O317" i="4"/>
  <c r="Q242" i="4"/>
  <c r="N315" i="4"/>
  <c r="O315" i="4"/>
  <c r="Q196" i="4"/>
  <c r="N68" i="4"/>
  <c r="O68" i="4"/>
  <c r="Q7" i="4"/>
  <c r="N69" i="4"/>
  <c r="O69" i="4"/>
  <c r="Q8" i="4"/>
  <c r="N314" i="4"/>
  <c r="O314" i="4"/>
  <c r="Q243" i="4"/>
  <c r="N331" i="4"/>
  <c r="O331" i="4"/>
  <c r="Q207" i="4"/>
  <c r="N333" i="4"/>
  <c r="O333" i="4"/>
  <c r="Q208" i="4"/>
  <c r="N335" i="4"/>
  <c r="O335" i="4"/>
  <c r="Q209" i="4"/>
  <c r="Q299" i="4"/>
  <c r="O200" i="4"/>
  <c r="Q300" i="4"/>
  <c r="N228" i="4"/>
  <c r="O228" i="4"/>
  <c r="Q197" i="4"/>
  <c r="N337" i="4"/>
  <c r="O337" i="4"/>
  <c r="Q210" i="4"/>
  <c r="N183" i="4"/>
  <c r="O183" i="4"/>
  <c r="Q155" i="4"/>
  <c r="N184" i="4"/>
  <c r="O184" i="4"/>
  <c r="N179" i="4"/>
  <c r="O179" i="4"/>
  <c r="Q156" i="4"/>
  <c r="N23" i="4"/>
  <c r="O23" i="4"/>
  <c r="Q301" i="4"/>
  <c r="N39" i="4"/>
  <c r="O39" i="4"/>
  <c r="Q302" i="4"/>
  <c r="N116" i="4"/>
  <c r="O116" i="4"/>
  <c r="Q9" i="4"/>
  <c r="N164" i="4"/>
  <c r="O164" i="4"/>
  <c r="Q303" i="4"/>
  <c r="N82" i="4"/>
  <c r="O82" i="4"/>
  <c r="Q304" i="4"/>
  <c r="N132" i="4"/>
  <c r="O132" i="4"/>
  <c r="Q93" i="4"/>
  <c r="N359" i="4"/>
  <c r="O359" i="4"/>
  <c r="Q305" i="4"/>
  <c r="N343" i="4"/>
  <c r="O343" i="4"/>
  <c r="Q59" i="4"/>
  <c r="N189" i="4"/>
  <c r="O189" i="4"/>
  <c r="Q306" i="4"/>
  <c r="N167" i="4"/>
  <c r="O167" i="4"/>
  <c r="Q179" i="4"/>
  <c r="N130" i="4"/>
  <c r="O130" i="4"/>
  <c r="Q50" i="4"/>
  <c r="N84" i="4"/>
  <c r="O84" i="4"/>
  <c r="Q244" i="4"/>
  <c r="N361" i="4"/>
  <c r="O361" i="4"/>
  <c r="Q307" i="4"/>
  <c r="N358" i="4"/>
  <c r="O358" i="4"/>
  <c r="Q10" i="4"/>
  <c r="N166" i="4"/>
  <c r="O166" i="4"/>
  <c r="Q157" i="4"/>
  <c r="N165" i="4"/>
  <c r="O165" i="4"/>
  <c r="Q308" i="4"/>
  <c r="N192" i="4"/>
  <c r="O192" i="4"/>
  <c r="Q158" i="4"/>
  <c r="N26" i="4"/>
  <c r="O26" i="4"/>
  <c r="Q309" i="4"/>
  <c r="N346" i="4"/>
  <c r="O346" i="4"/>
  <c r="Q60" i="4"/>
  <c r="N193" i="4"/>
  <c r="O193" i="4"/>
  <c r="Q310" i="4"/>
  <c r="N169" i="4"/>
  <c r="O169" i="4"/>
  <c r="Q159" i="4"/>
  <c r="N86" i="4"/>
  <c r="O86" i="4"/>
  <c r="Q311" i="4"/>
  <c r="N87" i="4"/>
  <c r="O87" i="4"/>
  <c r="Q312" i="4"/>
  <c r="N173" i="4"/>
  <c r="O173" i="4"/>
  <c r="Q160" i="4"/>
  <c r="N350" i="4"/>
  <c r="O350" i="4"/>
  <c r="Q83" i="4"/>
  <c r="N345" i="4"/>
  <c r="O345" i="4"/>
  <c r="Q61" i="4"/>
  <c r="N347" i="4"/>
  <c r="O347" i="4"/>
  <c r="Q84" i="4"/>
  <c r="N180" i="4"/>
  <c r="O180" i="4"/>
  <c r="Q180" i="4"/>
  <c r="N85" i="4"/>
  <c r="O85" i="4"/>
  <c r="Q313" i="4"/>
  <c r="N115" i="4"/>
  <c r="O115" i="4"/>
  <c r="Q198" i="4"/>
  <c r="N31" i="4"/>
  <c r="O31" i="4"/>
  <c r="Q314" i="4"/>
  <c r="N30" i="4"/>
  <c r="O30" i="4"/>
  <c r="Q315" i="4"/>
  <c r="N34" i="4"/>
  <c r="O34" i="4"/>
  <c r="Q316" i="4"/>
  <c r="N344" i="4"/>
  <c r="O344" i="4"/>
  <c r="Q62" i="4"/>
  <c r="N188" i="4"/>
  <c r="O188" i="4"/>
  <c r="Q317" i="4"/>
  <c r="N176" i="4"/>
  <c r="O176" i="4"/>
  <c r="Q318" i="4"/>
  <c r="N110" i="4"/>
  <c r="O110" i="4"/>
  <c r="Q75" i="4"/>
  <c r="N161" i="4"/>
  <c r="O161" i="4"/>
  <c r="Q319" i="4"/>
  <c r="N162" i="4"/>
  <c r="O162" i="4"/>
  <c r="Q320" i="4"/>
  <c r="N76" i="4"/>
  <c r="O76" i="4"/>
  <c r="Q94" i="4"/>
  <c r="N32" i="4"/>
  <c r="O32" i="4"/>
  <c r="Q321" i="4"/>
  <c r="N340" i="4"/>
  <c r="O340" i="4"/>
  <c r="Q85" i="4"/>
  <c r="N126" i="4"/>
  <c r="O126" i="4"/>
  <c r="Q199" i="4"/>
  <c r="N73" i="4"/>
  <c r="O73" i="4"/>
  <c r="Q46" i="4"/>
  <c r="N163" i="4"/>
  <c r="O163" i="4"/>
  <c r="Q322" i="4"/>
  <c r="N71" i="4"/>
  <c r="O71" i="4"/>
  <c r="Q52" i="4"/>
  <c r="N72" i="4"/>
  <c r="O72" i="4"/>
  <c r="Q55" i="4"/>
  <c r="N168" i="4"/>
  <c r="O168" i="4"/>
  <c r="Q161" i="4"/>
  <c r="N158" i="4"/>
  <c r="O158" i="4"/>
  <c r="Q323" i="4"/>
  <c r="N175" i="4"/>
  <c r="O175" i="4"/>
  <c r="Q162" i="4"/>
  <c r="N354" i="4"/>
  <c r="O354" i="4"/>
  <c r="Q245" i="4"/>
  <c r="N78" i="4"/>
  <c r="O78" i="4"/>
  <c r="Q95" i="4"/>
  <c r="N2" i="4"/>
  <c r="O2" i="4"/>
  <c r="Q11" i="4"/>
  <c r="N186" i="4"/>
  <c r="O186" i="4"/>
  <c r="Q181" i="4"/>
  <c r="N114" i="4"/>
  <c r="O114" i="4"/>
  <c r="Q96" i="4"/>
  <c r="N341" i="4"/>
  <c r="O341" i="4"/>
  <c r="Q86" i="4"/>
  <c r="N342" i="4"/>
  <c r="O342" i="4"/>
  <c r="Q63" i="4"/>
  <c r="N355" i="4"/>
  <c r="O355" i="4"/>
  <c r="Q246" i="4"/>
  <c r="N349" i="4"/>
  <c r="O349" i="4"/>
  <c r="Q87" i="4"/>
  <c r="N352" i="4"/>
  <c r="O352" i="4"/>
  <c r="Q88" i="4"/>
  <c r="N351" i="4"/>
  <c r="O351" i="4"/>
  <c r="Q89" i="4"/>
  <c r="N185" i="4"/>
  <c r="O185" i="4"/>
  <c r="Q163" i="4"/>
  <c r="N187" i="4"/>
  <c r="O187" i="4"/>
  <c r="Q324" i="4"/>
  <c r="N33" i="4"/>
  <c r="O33" i="4"/>
  <c r="Q150" i="4"/>
  <c r="N190" i="4"/>
  <c r="O190" i="4"/>
  <c r="Q164" i="4"/>
  <c r="N339" i="4"/>
  <c r="O339" i="4"/>
  <c r="Q135" i="4"/>
  <c r="N127" i="4"/>
  <c r="O127" i="4"/>
  <c r="Q97" i="4"/>
  <c r="N77" i="4"/>
  <c r="O77" i="4"/>
  <c r="Q98" i="4"/>
  <c r="N79" i="4"/>
  <c r="O79" i="4"/>
  <c r="Q99" i="4"/>
  <c r="N128" i="4"/>
  <c r="O128" i="4"/>
  <c r="Q51" i="4"/>
  <c r="N129" i="4"/>
  <c r="O129" i="4"/>
  <c r="Q100" i="4"/>
  <c r="N360" i="4"/>
  <c r="O360" i="4"/>
  <c r="Q325" i="4"/>
  <c r="N182" i="4"/>
  <c r="O182" i="4"/>
  <c r="Q56" i="4"/>
  <c r="N74" i="4"/>
  <c r="O74" i="4"/>
  <c r="Q101" i="4"/>
  <c r="N75" i="4"/>
  <c r="O75" i="4"/>
  <c r="Q102" i="4"/>
  <c r="N177" i="4"/>
  <c r="O177" i="4"/>
  <c r="Q57" i="4"/>
  <c r="N80" i="4"/>
  <c r="O80" i="4"/>
  <c r="Q130" i="4"/>
  <c r="N191" i="4"/>
  <c r="O191" i="4"/>
  <c r="Q182" i="4"/>
  <c r="N113" i="4"/>
  <c r="O113" i="4"/>
  <c r="Q12" i="4"/>
  <c r="N111" i="4"/>
  <c r="O111" i="4"/>
  <c r="Q76" i="4"/>
  <c r="N178" i="4"/>
  <c r="O178" i="4"/>
  <c r="Q326" i="4"/>
  <c r="N131" i="4"/>
  <c r="O131" i="4"/>
  <c r="Q103" i="4"/>
  <c r="N353" i="4"/>
  <c r="O353" i="4"/>
  <c r="Q247" i="4"/>
  <c r="N356" i="4"/>
  <c r="O356" i="4"/>
  <c r="Q327" i="4"/>
  <c r="N172" i="4"/>
  <c r="O172" i="4"/>
  <c r="Q183" i="4"/>
  <c r="N181" i="4"/>
  <c r="O181" i="4"/>
  <c r="Q58" i="4"/>
  <c r="N27" i="4"/>
  <c r="O27" i="4"/>
  <c r="Q328" i="4"/>
  <c r="N112" i="4"/>
  <c r="O112" i="4"/>
  <c r="Q329" i="4"/>
  <c r="N38" i="4"/>
  <c r="O38" i="4"/>
  <c r="Q188" i="4"/>
  <c r="N348" i="4"/>
  <c r="O348" i="4"/>
  <c r="Q90" i="4"/>
  <c r="N170" i="4"/>
  <c r="O170" i="4"/>
  <c r="Q165" i="4"/>
  <c r="N159" i="4"/>
  <c r="O159" i="4"/>
  <c r="Q330" i="4"/>
  <c r="N160" i="4"/>
  <c r="O160" i="4"/>
  <c r="Q331" i="4"/>
  <c r="N70" i="4"/>
  <c r="O70" i="4"/>
  <c r="Q77" i="4"/>
  <c r="N100" i="4"/>
  <c r="O100" i="4"/>
  <c r="Q104" i="4"/>
  <c r="N122" i="4"/>
  <c r="O122" i="4"/>
  <c r="Q105" i="4"/>
  <c r="N88" i="4"/>
  <c r="O88" i="4"/>
  <c r="Q106" i="4"/>
  <c r="N120" i="4"/>
  <c r="O120" i="4"/>
  <c r="Q107" i="4"/>
  <c r="N123" i="4"/>
  <c r="O123" i="4"/>
  <c r="Q108" i="4"/>
  <c r="Q332" i="4"/>
  <c r="N92" i="4"/>
  <c r="O92" i="4"/>
  <c r="Q333" i="4"/>
  <c r="N91" i="4"/>
  <c r="O91" i="4"/>
  <c r="Q334" i="4"/>
  <c r="O90" i="4"/>
  <c r="Q335" i="4"/>
  <c r="N102" i="4"/>
  <c r="O102" i="4"/>
  <c r="Q109" i="4"/>
  <c r="N121" i="4"/>
  <c r="O121" i="4"/>
  <c r="Q110" i="4"/>
  <c r="N96" i="4"/>
  <c r="O96" i="4"/>
  <c r="Q111" i="4"/>
  <c r="N101" i="4"/>
  <c r="O101" i="4"/>
  <c r="Q112" i="4"/>
  <c r="N98" i="4"/>
  <c r="O98" i="4"/>
  <c r="Q113" i="4"/>
  <c r="N124" i="4"/>
  <c r="O124" i="4"/>
  <c r="Q114" i="4"/>
  <c r="N117" i="4"/>
  <c r="O117" i="4"/>
  <c r="Q115" i="4"/>
  <c r="N81" i="4"/>
  <c r="O81" i="4"/>
  <c r="Q131" i="4"/>
  <c r="N109" i="4"/>
  <c r="O109" i="4"/>
  <c r="Q53" i="4"/>
  <c r="N93" i="4"/>
  <c r="O93" i="4"/>
  <c r="Q116" i="4"/>
  <c r="N83" i="4"/>
  <c r="O83" i="4"/>
  <c r="Q13" i="4"/>
  <c r="N94" i="4"/>
  <c r="O94" i="4"/>
  <c r="Q78" i="4"/>
  <c r="N108" i="4"/>
  <c r="O108" i="4"/>
  <c r="Q200" i="4"/>
  <c r="N106" i="4"/>
  <c r="O106" i="4"/>
  <c r="Q248" i="4"/>
  <c r="N125" i="4"/>
  <c r="O125" i="4"/>
  <c r="Q336" i="4"/>
  <c r="N103" i="4"/>
  <c r="O103" i="4"/>
  <c r="Q117" i="4"/>
  <c r="O119" i="4"/>
  <c r="Q337" i="4"/>
  <c r="N104" i="4"/>
  <c r="O104" i="4"/>
  <c r="Q79" i="4"/>
  <c r="N99" i="4"/>
  <c r="O99" i="4"/>
  <c r="Q118" i="4"/>
  <c r="N97" i="4"/>
  <c r="O97" i="4"/>
  <c r="Q119" i="4"/>
  <c r="N89" i="4"/>
  <c r="O89" i="4"/>
  <c r="Q120" i="4"/>
  <c r="N95" i="4"/>
  <c r="O95" i="4"/>
  <c r="Q121" i="4"/>
  <c r="N107" i="4"/>
  <c r="O107" i="4"/>
  <c r="Q80" i="4"/>
  <c r="N105" i="4"/>
  <c r="O105" i="4"/>
  <c r="Q338" i="4"/>
  <c r="O118" i="4"/>
  <c r="Q339" i="4"/>
  <c r="N310" i="4"/>
  <c r="O310" i="4"/>
  <c r="N323" i="4"/>
  <c r="O323" i="4"/>
  <c r="Q14" i="4"/>
  <c r="N326" i="4"/>
  <c r="O326" i="4"/>
  <c r="Q211" i="4"/>
  <c r="N328" i="4"/>
  <c r="O328" i="4"/>
  <c r="Q136" i="4"/>
  <c r="N275" i="4"/>
  <c r="O275" i="4"/>
  <c r="Q15" i="4"/>
  <c r="N322" i="4"/>
  <c r="O322" i="4"/>
  <c r="Q16" i="4"/>
  <c r="N320" i="4"/>
  <c r="O320" i="4"/>
  <c r="Q68" i="4"/>
  <c r="N309" i="4"/>
  <c r="O309" i="4"/>
  <c r="N278" i="4"/>
  <c r="O278" i="4"/>
  <c r="Q249" i="4"/>
  <c r="N324" i="4"/>
  <c r="O324" i="4"/>
  <c r="Q212" i="4"/>
  <c r="N329" i="4"/>
  <c r="O329" i="4"/>
  <c r="Q213" i="4"/>
  <c r="Q340" i="4"/>
  <c r="N203" i="4"/>
  <c r="O203" i="4"/>
  <c r="Q137" i="4"/>
  <c r="Q341" i="4"/>
  <c r="N62" i="4"/>
  <c r="O62" i="4"/>
  <c r="Q17" i="4"/>
  <c r="N24" i="4"/>
  <c r="O24" i="4"/>
  <c r="Q18" i="4"/>
  <c r="Q342" i="4"/>
  <c r="Q343" i="4"/>
  <c r="O59" i="4"/>
  <c r="Q344" i="4"/>
  <c r="Q345" i="4"/>
  <c r="Q346" i="4"/>
  <c r="N58" i="4"/>
  <c r="O58" i="4"/>
  <c r="Q347" i="4"/>
  <c r="N201" i="4"/>
  <c r="O201" i="4"/>
  <c r="Q348" i="4"/>
  <c r="N204" i="4"/>
  <c r="O204" i="4"/>
  <c r="Q250" i="4"/>
  <c r="Q349" i="4"/>
  <c r="Q350" i="4"/>
  <c r="N6" i="4"/>
  <c r="O6" i="4"/>
  <c r="Q282" i="4"/>
  <c r="N61" i="4"/>
  <c r="O61" i="4"/>
  <c r="Q138" i="4"/>
  <c r="N63" i="4"/>
  <c r="O63" i="4"/>
  <c r="Q251" i="4"/>
  <c r="N3" i="4"/>
  <c r="O3" i="4"/>
  <c r="Q228" i="4"/>
  <c r="N8" i="4"/>
  <c r="O8" i="4"/>
  <c r="Q283" i="4"/>
  <c r="N18" i="4"/>
  <c r="O18" i="4"/>
  <c r="Q351" i="4"/>
  <c r="N21" i="4"/>
  <c r="O21" i="4"/>
  <c r="Q139" i="4"/>
  <c r="Q352" i="4"/>
  <c r="N66" i="4"/>
  <c r="O66" i="4"/>
  <c r="Q353" i="4"/>
  <c r="N4" i="4"/>
  <c r="O4" i="4"/>
  <c r="Q284" i="4"/>
  <c r="N16" i="4"/>
  <c r="O16" i="4"/>
  <c r="Q285" i="4"/>
  <c r="N41" i="4"/>
  <c r="O41" i="4"/>
  <c r="Q140" i="4"/>
  <c r="Q354" i="4"/>
  <c r="N64" i="4"/>
  <c r="O64" i="4"/>
  <c r="Q19" i="4"/>
  <c r="N40" i="4"/>
  <c r="O40" i="4"/>
  <c r="Q20" i="4"/>
  <c r="N149" i="4"/>
  <c r="O149" i="4"/>
  <c r="Q166" i="4"/>
  <c r="N205" i="4"/>
  <c r="O205" i="4"/>
  <c r="Q141" i="4"/>
  <c r="N155" i="4"/>
  <c r="O155" i="4"/>
  <c r="Q167" i="4"/>
  <c r="N57" i="4"/>
  <c r="O57" i="4"/>
  <c r="Q21" i="4"/>
  <c r="N60" i="4"/>
  <c r="O60" i="4"/>
  <c r="Q22" i="4"/>
  <c r="N67" i="4"/>
  <c r="O67" i="4"/>
  <c r="Q355" i="4"/>
  <c r="N14" i="4"/>
  <c r="O14" i="4"/>
  <c r="Q229" i="4"/>
  <c r="N15" i="4"/>
  <c r="O15" i="4"/>
  <c r="Q230" i="4"/>
  <c r="N22" i="4"/>
  <c r="O22" i="4"/>
  <c r="Q23" i="4"/>
  <c r="N152" i="4"/>
  <c r="O152" i="4"/>
  <c r="Q184" i="4"/>
  <c r="N10" i="4"/>
  <c r="O10" i="4"/>
  <c r="Q151" i="4"/>
  <c r="N42" i="4"/>
  <c r="O42" i="4"/>
  <c r="Q142" i="4"/>
  <c r="N43" i="4"/>
  <c r="O43" i="4"/>
  <c r="Q252" i="4"/>
  <c r="N12" i="4"/>
  <c r="O12" i="4"/>
  <c r="Q152" i="4"/>
  <c r="N11" i="4"/>
  <c r="O11" i="4"/>
  <c r="Q153" i="4"/>
  <c r="N13" i="4"/>
  <c r="O13" i="4"/>
  <c r="Q154" i="4"/>
  <c r="N20" i="4"/>
  <c r="O20" i="4"/>
  <c r="Q143" i="4"/>
  <c r="N202" i="4"/>
  <c r="O202" i="4"/>
  <c r="Q253" i="4"/>
  <c r="N65" i="4"/>
  <c r="O65" i="4"/>
  <c r="Q24" i="4"/>
  <c r="N242" i="4"/>
  <c r="O242" i="4"/>
  <c r="Q254" i="4"/>
  <c r="N248" i="4"/>
  <c r="O248" i="4"/>
  <c r="Q36" i="4"/>
  <c r="N250" i="4"/>
  <c r="O250" i="4"/>
  <c r="Q144" i="4"/>
  <c r="N269" i="4"/>
  <c r="O269" i="4"/>
  <c r="Q255" i="4"/>
  <c r="N46" i="4"/>
  <c r="O46" i="4"/>
  <c r="Q66" i="4"/>
  <c r="N51" i="4"/>
  <c r="O51" i="4"/>
  <c r="Q71" i="4"/>
  <c r="O56" i="4"/>
  <c r="Q356" i="4"/>
  <c r="N45" i="4"/>
  <c r="O45" i="4"/>
  <c r="Q72" i="4"/>
  <c r="N50" i="4"/>
  <c r="O50" i="4"/>
  <c r="Q122" i="4"/>
  <c r="N55" i="4"/>
  <c r="O55" i="4"/>
  <c r="Q25" i="4"/>
  <c r="N273" i="4"/>
  <c r="O273" i="4"/>
  <c r="Q43" i="4"/>
  <c r="N241" i="4"/>
  <c r="O241" i="4"/>
  <c r="Q26" i="4"/>
  <c r="N219" i="4"/>
  <c r="O219" i="4"/>
  <c r="Q357" i="4"/>
  <c r="N270" i="4"/>
  <c r="O270" i="4"/>
  <c r="Q256" i="4"/>
  <c r="N47" i="4"/>
  <c r="O47" i="4"/>
  <c r="Q67" i="4"/>
  <c r="N48" i="4"/>
  <c r="O48" i="4"/>
  <c r="Q47" i="4"/>
  <c r="N44" i="4"/>
  <c r="O44" i="4"/>
  <c r="Q27" i="4"/>
  <c r="N52" i="4"/>
  <c r="O52" i="4"/>
  <c r="Q145" i="4"/>
  <c r="N53" i="4"/>
  <c r="O53" i="4"/>
  <c r="Q358" i="4"/>
  <c r="N233" i="4"/>
  <c r="O233" i="4"/>
  <c r="Q42" i="4"/>
  <c r="N235" i="4"/>
  <c r="O235" i="4"/>
  <c r="Q64" i="4"/>
  <c r="N229" i="4"/>
  <c r="O229" i="4"/>
  <c r="Q359" i="4"/>
  <c r="N218" i="4"/>
  <c r="O218" i="4"/>
  <c r="Q146" i="4"/>
  <c r="N217" i="4"/>
  <c r="O217" i="4"/>
  <c r="Q257" i="4"/>
  <c r="N212" i="4"/>
  <c r="O212" i="4"/>
  <c r="Q258" i="4"/>
  <c r="N207" i="4"/>
  <c r="O207" i="4"/>
  <c r="Q259" i="4"/>
  <c r="N232" i="4"/>
  <c r="O232" i="4"/>
  <c r="Q260" i="4"/>
  <c r="N222" i="4"/>
  <c r="O222" i="4"/>
  <c r="Q261" i="4"/>
  <c r="N220" i="4"/>
  <c r="O220" i="4"/>
  <c r="Q262" i="4"/>
  <c r="N224" i="4"/>
  <c r="O224" i="4"/>
  <c r="Q263" i="4"/>
  <c r="N243" i="4"/>
  <c r="O243" i="4"/>
  <c r="Q65" i="4"/>
  <c r="N246" i="4"/>
  <c r="O246" i="4"/>
  <c r="N267" i="4"/>
  <c r="O267" i="4"/>
  <c r="Q264" i="4"/>
  <c r="N230" i="4"/>
  <c r="O230" i="4"/>
  <c r="Q265" i="4"/>
  <c r="N234" i="4"/>
  <c r="O234" i="4"/>
  <c r="N221" i="4"/>
  <c r="O221" i="4"/>
  <c r="Q360" i="4"/>
  <c r="N240" i="4"/>
  <c r="O240" i="4"/>
  <c r="Q227" i="4"/>
  <c r="N210" i="4"/>
  <c r="O210" i="4"/>
  <c r="N211" i="4"/>
  <c r="O211" i="4"/>
  <c r="Q266" i="4"/>
  <c r="N206" i="4"/>
  <c r="O206" i="4"/>
  <c r="Q267" i="4"/>
  <c r="N209" i="4"/>
  <c r="O209" i="4"/>
  <c r="Q201" i="4"/>
  <c r="N231" i="4"/>
  <c r="O231" i="4"/>
  <c r="Q268" i="4"/>
  <c r="N226" i="4"/>
  <c r="O226" i="4"/>
  <c r="Q269" i="4"/>
  <c r="N49" i="4"/>
  <c r="O49" i="4"/>
  <c r="Q123" i="4"/>
  <c r="O54" i="4"/>
  <c r="Q361" i="4"/>
  <c r="N215" i="4"/>
  <c r="O215" i="4"/>
  <c r="Q362" i="4"/>
  <c r="N225" i="4"/>
  <c r="O225" i="4"/>
  <c r="Q363" i="4"/>
  <c r="O227" i="4"/>
  <c r="Q364" i="4"/>
  <c r="N208" i="4"/>
  <c r="O208" i="4"/>
  <c r="Q270" i="4"/>
  <c r="N216" i="4"/>
  <c r="O216" i="4"/>
  <c r="Q271" i="4"/>
  <c r="N272" i="4"/>
  <c r="O272" i="4"/>
  <c r="Q73" i="4"/>
  <c r="N274" i="4"/>
  <c r="O274" i="4"/>
  <c r="Q44" i="4"/>
  <c r="N244" i="4"/>
  <c r="O244" i="4"/>
  <c r="Q37" i="4"/>
  <c r="N245" i="4"/>
  <c r="O245" i="4"/>
  <c r="Q38" i="4"/>
  <c r="N247" i="4"/>
  <c r="O247" i="4"/>
  <c r="Q39" i="4"/>
  <c r="N276" i="4"/>
  <c r="O276" i="4"/>
  <c r="Q28" i="4"/>
  <c r="N251" i="4"/>
  <c r="O251" i="4"/>
  <c r="Q29" i="4"/>
  <c r="N287" i="4"/>
  <c r="O287" i="4"/>
  <c r="Q147" i="4"/>
  <c r="N266" i="4"/>
  <c r="O266" i="4"/>
  <c r="Q281" i="4"/>
  <c r="N268" i="4"/>
  <c r="O268" i="4"/>
  <c r="Q272" i="4"/>
  <c r="N271" i="4"/>
  <c r="O271" i="4"/>
  <c r="Q273" i="4"/>
  <c r="N286" i="4"/>
  <c r="O286" i="4"/>
  <c r="Q30" i="4"/>
  <c r="N238" i="4"/>
  <c r="O238" i="4"/>
  <c r="Q214" i="4"/>
  <c r="N304" i="4"/>
  <c r="O304" i="4"/>
  <c r="Q215" i="4"/>
  <c r="N302" i="4"/>
  <c r="O302" i="4"/>
  <c r="Q216" i="4"/>
  <c r="N306" i="4"/>
  <c r="O306" i="4"/>
  <c r="Q217" i="4"/>
  <c r="N285" i="4"/>
  <c r="O285" i="4"/>
  <c r="Q218" i="4"/>
  <c r="N150" i="4"/>
  <c r="O150" i="4"/>
  <c r="Q168" i="4"/>
  <c r="N153" i="4"/>
  <c r="O153" i="4"/>
  <c r="Q185" i="4"/>
  <c r="N156" i="4"/>
  <c r="O156" i="4"/>
  <c r="Q169" i="4"/>
  <c r="N330" i="4"/>
  <c r="O330" i="4"/>
  <c r="Q219" i="4"/>
  <c r="N327" i="4"/>
  <c r="O327" i="4"/>
  <c r="Q220" i="4"/>
  <c r="N325" i="4"/>
  <c r="O325" i="4"/>
  <c r="Q221" i="4"/>
  <c r="N280" i="4"/>
  <c r="O280" i="4"/>
  <c r="Q222" i="4"/>
  <c r="N277" i="4"/>
  <c r="O277" i="4"/>
  <c r="Q31" i="4"/>
  <c r="N151" i="4"/>
  <c r="O151" i="4"/>
  <c r="Q170" i="4"/>
  <c r="N171" i="4"/>
  <c r="O171" i="4"/>
  <c r="Q171" i="4"/>
  <c r="N9" i="4"/>
  <c r="O9" i="4"/>
  <c r="Q286" i="4"/>
  <c r="N28" i="4"/>
  <c r="O28" i="4"/>
  <c r="Q365" i="4"/>
  <c r="N174" i="4"/>
  <c r="O174" i="4"/>
  <c r="Q172" i="4"/>
  <c r="N332" i="4"/>
  <c r="O332" i="4"/>
  <c r="Q223" i="4"/>
  <c r="N334" i="4"/>
  <c r="O334" i="4"/>
  <c r="Q224" i="4"/>
  <c r="N293" i="4"/>
  <c r="O293" i="4"/>
  <c r="Q69" i="4"/>
  <c r="N321" i="4"/>
  <c r="O321" i="4"/>
  <c r="Q70" i="4"/>
  <c r="N338" i="4"/>
  <c r="O338" i="4"/>
  <c r="Q225" i="4"/>
  <c r="N5" i="4"/>
  <c r="O5" i="4"/>
  <c r="Q287" i="4"/>
  <c r="N336" i="4"/>
  <c r="O336" i="4"/>
  <c r="Q226" i="4"/>
  <c r="N154" i="4"/>
  <c r="O154" i="4"/>
  <c r="Q186" i="4"/>
  <c r="N157" i="4"/>
  <c r="O157" i="4"/>
  <c r="Q173" i="4"/>
  <c r="N29" i="4"/>
  <c r="O29" i="4"/>
  <c r="N19" i="4"/>
  <c r="O19" i="4"/>
  <c r="N7" i="4"/>
  <c r="O7" i="4"/>
  <c r="Q288" i="4"/>
  <c r="N17" i="4"/>
  <c r="O17" i="4"/>
  <c r="Q289" i="4"/>
  <c r="N357" i="4"/>
  <c r="O357" i="4"/>
  <c r="N133" i="4"/>
  <c r="O133" i="4"/>
  <c r="Q32" i="4"/>
  <c r="N134" i="4"/>
  <c r="O134" i="4"/>
  <c r="Q148" i="4"/>
  <c r="N135" i="4"/>
  <c r="O135" i="4"/>
  <c r="Q274" i="4"/>
  <c r="N136" i="4"/>
  <c r="O136" i="4"/>
  <c r="Q33" i="4"/>
  <c r="N137" i="4"/>
  <c r="O137" i="4"/>
  <c r="Q34" i="4"/>
  <c r="O138" i="4"/>
  <c r="N143" i="4"/>
  <c r="O143" i="4"/>
  <c r="Q149" i="4"/>
  <c r="N139" i="4"/>
  <c r="O139" i="4"/>
  <c r="Q124" i="4"/>
  <c r="N362" i="4"/>
  <c r="O362" i="4"/>
  <c r="N144" i="4"/>
  <c r="O144" i="4"/>
  <c r="Q35" i="4"/>
  <c r="N363" i="4"/>
  <c r="O363" i="4"/>
  <c r="N365" i="4"/>
  <c r="O365" i="4"/>
  <c r="Q48" i="4"/>
  <c r="N364" i="4"/>
  <c r="O364" i="4"/>
  <c r="Q49" i="4"/>
  <c r="N142" i="4"/>
  <c r="O142" i="4"/>
  <c r="Q125" i="4"/>
  <c r="N140" i="4"/>
  <c r="O140" i="4"/>
  <c r="Q126" i="4"/>
  <c r="N141" i="4"/>
  <c r="O141" i="4"/>
  <c r="Q127" i="4"/>
  <c r="N146" i="4"/>
  <c r="O146" i="4"/>
  <c r="Q54" i="4"/>
  <c r="N145" i="4"/>
  <c r="O145" i="4"/>
  <c r="Q128" i="4"/>
  <c r="N194" i="4"/>
  <c r="O194" i="4"/>
  <c r="Q187" i="4"/>
  <c r="N195" i="4"/>
  <c r="O195" i="4"/>
  <c r="Q174" i="4"/>
  <c r="N147" i="4"/>
  <c r="O147" i="4"/>
  <c r="Q45" i="4"/>
  <c r="N198" i="4"/>
  <c r="O198" i="4"/>
  <c r="Q176" i="4"/>
  <c r="N197" i="4"/>
  <c r="O197" i="4"/>
  <c r="Q175" i="4"/>
  <c r="N196" i="4"/>
  <c r="O196" i="4"/>
  <c r="Q177" i="4"/>
  <c r="N148" i="4"/>
  <c r="O148" i="4"/>
  <c r="Q129" i="4"/>
  <c r="N199" i="4"/>
  <c r="O199" i="4"/>
  <c r="Q178" i="4"/>
  <c r="Q2" i="4"/>
  <c r="O37" i="4"/>
  <c r="N37" i="4"/>
  <c r="M37" i="4"/>
  <c r="M35" i="4"/>
  <c r="M36" i="4"/>
  <c r="M283" i="4"/>
  <c r="M256" i="4"/>
  <c r="M264" i="4"/>
  <c r="M265" i="4"/>
  <c r="M298" i="4"/>
  <c r="M294" i="4"/>
  <c r="M295" i="4"/>
  <c r="M254" i="4"/>
  <c r="M252" i="4"/>
  <c r="M259" i="4"/>
  <c r="M223" i="4"/>
  <c r="M307" i="4"/>
  <c r="M282" i="4"/>
  <c r="M303" i="4"/>
  <c r="M301" i="4"/>
  <c r="M305" i="4"/>
  <c r="M296" i="4"/>
  <c r="M288" i="4"/>
  <c r="M279" i="4"/>
  <c r="M263" i="4"/>
  <c r="M214" i="4"/>
  <c r="M213" i="4"/>
  <c r="M257" i="4"/>
  <c r="M255" i="4"/>
  <c r="M239" i="4"/>
  <c r="M281" i="4"/>
  <c r="M308" i="4"/>
  <c r="M262" i="4"/>
  <c r="M300" i="4"/>
  <c r="M292" i="4"/>
  <c r="M299" i="4"/>
  <c r="M253" i="4"/>
  <c r="M284" i="4"/>
  <c r="M258" i="4"/>
  <c r="M260" i="4"/>
  <c r="M261" i="4"/>
  <c r="M297" i="4"/>
  <c r="M237" i="4"/>
  <c r="M289" i="4"/>
  <c r="M290" i="4"/>
  <c r="M291" i="4"/>
  <c r="M313" i="4"/>
  <c r="M25" i="4"/>
  <c r="M318" i="4"/>
  <c r="M311" i="4"/>
  <c r="M312" i="4"/>
  <c r="M319" i="4"/>
  <c r="M236" i="4"/>
  <c r="M249" i="4"/>
  <c r="M317" i="4"/>
  <c r="M315" i="4"/>
  <c r="M68" i="4"/>
  <c r="M69" i="4"/>
  <c r="M314" i="4"/>
  <c r="M331" i="4"/>
  <c r="M333" i="4"/>
  <c r="M335" i="4"/>
  <c r="M200" i="4"/>
  <c r="M228" i="4"/>
  <c r="M337" i="4"/>
  <c r="M183" i="4"/>
  <c r="M184" i="4"/>
  <c r="M179" i="4"/>
  <c r="M23" i="4"/>
  <c r="M39" i="4"/>
  <c r="M116" i="4"/>
  <c r="M164" i="4"/>
  <c r="M82" i="4"/>
  <c r="M132" i="4"/>
  <c r="M359" i="4"/>
  <c r="M343" i="4"/>
  <c r="M189" i="4"/>
  <c r="M167" i="4"/>
  <c r="M130" i="4"/>
  <c r="M84" i="4"/>
  <c r="M361" i="4"/>
  <c r="M358" i="4"/>
  <c r="M166" i="4"/>
  <c r="M165" i="4"/>
  <c r="M192" i="4"/>
  <c r="M26" i="4"/>
  <c r="M346" i="4"/>
  <c r="M193" i="4"/>
  <c r="M169" i="4"/>
  <c r="M86" i="4"/>
  <c r="M87" i="4"/>
  <c r="M173" i="4"/>
  <c r="M350" i="4"/>
  <c r="M345" i="4"/>
  <c r="M347" i="4"/>
  <c r="M180" i="4"/>
  <c r="M85" i="4"/>
  <c r="M115" i="4"/>
  <c r="M31" i="4"/>
  <c r="M30" i="4"/>
  <c r="M34" i="4"/>
  <c r="M344" i="4"/>
  <c r="M188" i="4"/>
  <c r="M176" i="4"/>
  <c r="M110" i="4"/>
  <c r="M161" i="4"/>
  <c r="M162" i="4"/>
  <c r="M76" i="4"/>
  <c r="M32" i="4"/>
  <c r="M340" i="4"/>
  <c r="M126" i="4"/>
  <c r="M73" i="4"/>
  <c r="M163" i="4"/>
  <c r="M71" i="4"/>
  <c r="M72" i="4"/>
  <c r="M168" i="4"/>
  <c r="M158" i="4"/>
  <c r="M175" i="4"/>
  <c r="M354" i="4"/>
  <c r="M78" i="4"/>
  <c r="M2" i="4"/>
  <c r="M186" i="4"/>
  <c r="M114" i="4"/>
  <c r="M341" i="4"/>
  <c r="M342" i="4"/>
  <c r="M355" i="4"/>
  <c r="M349" i="4"/>
  <c r="M352" i="4"/>
  <c r="M351" i="4"/>
  <c r="M185" i="4"/>
  <c r="M187" i="4"/>
  <c r="M33" i="4"/>
  <c r="M190" i="4"/>
  <c r="M339" i="4"/>
  <c r="M127" i="4"/>
  <c r="M77" i="4"/>
  <c r="M79" i="4"/>
  <c r="M128" i="4"/>
  <c r="M129" i="4"/>
  <c r="M360" i="4"/>
  <c r="M182" i="4"/>
  <c r="M74" i="4"/>
  <c r="M75" i="4"/>
  <c r="M177" i="4"/>
  <c r="M80" i="4"/>
  <c r="M191" i="4"/>
  <c r="M113" i="4"/>
  <c r="M111" i="4"/>
  <c r="M178" i="4"/>
  <c r="M131" i="4"/>
  <c r="M353" i="4"/>
  <c r="M356" i="4"/>
  <c r="M172" i="4"/>
  <c r="M181" i="4"/>
  <c r="M27" i="4"/>
  <c r="M112" i="4"/>
  <c r="M38" i="4"/>
  <c r="M348" i="4"/>
  <c r="M170" i="4"/>
  <c r="M159" i="4"/>
  <c r="M160" i="4"/>
  <c r="M70" i="4"/>
  <c r="M100" i="4"/>
  <c r="M122" i="4"/>
  <c r="M88" i="4"/>
  <c r="M120" i="4"/>
  <c r="M123" i="4"/>
  <c r="M92" i="4"/>
  <c r="M91" i="4"/>
  <c r="M90" i="4"/>
  <c r="M102" i="4"/>
  <c r="M121" i="4"/>
  <c r="M96" i="4"/>
  <c r="M101" i="4"/>
  <c r="M98" i="4"/>
  <c r="M124" i="4"/>
  <c r="M117" i="4"/>
  <c r="M81" i="4"/>
  <c r="M109" i="4"/>
  <c r="M93" i="4"/>
  <c r="M83" i="4"/>
  <c r="M94" i="4"/>
  <c r="M108" i="4"/>
  <c r="M106" i="4"/>
  <c r="M125" i="4"/>
  <c r="M103" i="4"/>
  <c r="M119" i="4"/>
  <c r="M104" i="4"/>
  <c r="M99" i="4"/>
  <c r="M97" i="4"/>
  <c r="M89" i="4"/>
  <c r="M95" i="4"/>
  <c r="M107" i="4"/>
  <c r="M105" i="4"/>
  <c r="M118" i="4"/>
  <c r="M310" i="4"/>
  <c r="M323" i="4"/>
  <c r="M326" i="4"/>
  <c r="M328" i="4"/>
  <c r="M275" i="4"/>
  <c r="M322" i="4"/>
  <c r="M320" i="4"/>
  <c r="M309" i="4"/>
  <c r="M278" i="4"/>
  <c r="M324" i="4"/>
  <c r="M329" i="4"/>
  <c r="M203" i="4"/>
  <c r="M62" i="4"/>
  <c r="M24" i="4"/>
  <c r="M59" i="4"/>
  <c r="M58" i="4"/>
  <c r="M201" i="4"/>
  <c r="M204" i="4"/>
  <c r="M6" i="4"/>
  <c r="M61" i="4"/>
  <c r="M63" i="4"/>
  <c r="M3" i="4"/>
  <c r="M8" i="4"/>
  <c r="M18" i="4"/>
  <c r="M21" i="4"/>
  <c r="M66" i="4"/>
  <c r="M4" i="4"/>
  <c r="M16" i="4"/>
  <c r="M41" i="4"/>
  <c r="M64" i="4"/>
  <c r="M40" i="4"/>
  <c r="M149" i="4"/>
  <c r="M205" i="4"/>
  <c r="M155" i="4"/>
  <c r="M57" i="4"/>
  <c r="M60" i="4"/>
  <c r="M67" i="4"/>
  <c r="M14" i="4"/>
  <c r="M15" i="4"/>
  <c r="M22" i="4"/>
  <c r="M152" i="4"/>
  <c r="M10" i="4"/>
  <c r="M42" i="4"/>
  <c r="M43" i="4"/>
  <c r="M12" i="4"/>
  <c r="M11" i="4"/>
  <c r="M13" i="4"/>
  <c r="M20" i="4"/>
  <c r="M202" i="4"/>
  <c r="M65" i="4"/>
  <c r="M242" i="4"/>
  <c r="M248" i="4"/>
  <c r="M250" i="4"/>
  <c r="M269" i="4"/>
  <c r="M46" i="4"/>
  <c r="M51" i="4"/>
  <c r="M56" i="4"/>
  <c r="M45" i="4"/>
  <c r="M50" i="4"/>
  <c r="M55" i="4"/>
  <c r="M273" i="4"/>
  <c r="M241" i="4"/>
  <c r="M219" i="4"/>
  <c r="M270" i="4"/>
  <c r="M47" i="4"/>
  <c r="M48" i="4"/>
  <c r="M44" i="4"/>
  <c r="M52" i="4"/>
  <c r="M53" i="4"/>
  <c r="M233" i="4"/>
  <c r="M235" i="4"/>
  <c r="M229" i="4"/>
  <c r="M218" i="4"/>
  <c r="M217" i="4"/>
  <c r="M212" i="4"/>
  <c r="M207" i="4"/>
  <c r="M232" i="4"/>
  <c r="M222" i="4"/>
  <c r="M220" i="4"/>
  <c r="M224" i="4"/>
  <c r="M243" i="4"/>
  <c r="M246" i="4"/>
  <c r="M267" i="4"/>
  <c r="M230" i="4"/>
  <c r="M234" i="4"/>
  <c r="M221" i="4"/>
  <c r="M240" i="4"/>
  <c r="M210" i="4"/>
  <c r="M211" i="4"/>
  <c r="M206" i="4"/>
  <c r="M209" i="4"/>
  <c r="M231" i="4"/>
  <c r="M226" i="4"/>
  <c r="M49" i="4"/>
  <c r="M54" i="4"/>
  <c r="M215" i="4"/>
  <c r="M225" i="4"/>
  <c r="M227" i="4"/>
  <c r="M208" i="4"/>
  <c r="M216" i="4"/>
  <c r="M272" i="4"/>
  <c r="M274" i="4"/>
  <c r="M244" i="4"/>
  <c r="M245" i="4"/>
  <c r="M247" i="4"/>
  <c r="M276" i="4"/>
  <c r="M251" i="4"/>
  <c r="M287" i="4"/>
  <c r="M266" i="4"/>
  <c r="M268" i="4"/>
  <c r="M271" i="4"/>
  <c r="M286" i="4"/>
  <c r="M238" i="4"/>
  <c r="M304" i="4"/>
  <c r="M302" i="4"/>
  <c r="M306" i="4"/>
  <c r="M285" i="4"/>
  <c r="M150" i="4"/>
  <c r="M153" i="4"/>
  <c r="M156" i="4"/>
  <c r="M330" i="4"/>
  <c r="M327" i="4"/>
  <c r="M325" i="4"/>
  <c r="M280" i="4"/>
  <c r="M277" i="4"/>
  <c r="M151" i="4"/>
  <c r="M171" i="4"/>
  <c r="M9" i="4"/>
  <c r="M28" i="4"/>
  <c r="M174" i="4"/>
  <c r="M332" i="4"/>
  <c r="M334" i="4"/>
  <c r="M293" i="4"/>
  <c r="M321" i="4"/>
  <c r="M338" i="4"/>
  <c r="M5" i="4"/>
  <c r="M336" i="4"/>
  <c r="M154" i="4"/>
  <c r="M157" i="4"/>
  <c r="M29" i="4"/>
  <c r="M19" i="4"/>
  <c r="M7" i="4"/>
  <c r="M17" i="4"/>
  <c r="M357" i="4"/>
  <c r="M133" i="4"/>
  <c r="M134" i="4"/>
  <c r="M135" i="4"/>
  <c r="M136" i="4"/>
  <c r="M137" i="4"/>
  <c r="M138" i="4"/>
  <c r="M143" i="4"/>
  <c r="M139" i="4"/>
  <c r="M362" i="4"/>
  <c r="M144" i="4"/>
  <c r="M363" i="4"/>
  <c r="M365" i="4"/>
  <c r="M364" i="4"/>
  <c r="M142" i="4"/>
  <c r="M140" i="4"/>
  <c r="M141" i="4"/>
  <c r="M146" i="4"/>
  <c r="M145" i="4"/>
  <c r="M194" i="4"/>
  <c r="M195" i="4"/>
  <c r="M147" i="4"/>
  <c r="M198" i="4"/>
  <c r="M197" i="4"/>
  <c r="M196" i="4"/>
  <c r="M148" i="4"/>
  <c r="M199" i="4"/>
  <c r="M316" i="4"/>
  <c r="B256" i="4"/>
  <c r="B264" i="4"/>
  <c r="B265" i="4"/>
  <c r="B298" i="4"/>
  <c r="B294" i="4"/>
  <c r="B295" i="4"/>
  <c r="B254" i="4"/>
  <c r="B252" i="4"/>
  <c r="B259" i="4"/>
  <c r="B223" i="4"/>
  <c r="B307" i="4"/>
  <c r="B282" i="4"/>
  <c r="B303" i="4"/>
  <c r="B301" i="4"/>
  <c r="B305" i="4"/>
  <c r="B296" i="4"/>
  <c r="B288" i="4"/>
  <c r="B279" i="4"/>
  <c r="B263" i="4"/>
  <c r="B214" i="4"/>
  <c r="B213" i="4"/>
  <c r="B257" i="4"/>
  <c r="B255" i="4"/>
  <c r="B239" i="4"/>
  <c r="B281" i="4"/>
  <c r="B316" i="4"/>
  <c r="B308" i="4"/>
  <c r="B262" i="4"/>
  <c r="B300" i="4"/>
  <c r="B292" i="4"/>
  <c r="B299" i="4"/>
  <c r="B253" i="4"/>
  <c r="B284" i="4"/>
  <c r="B258" i="4"/>
  <c r="B260" i="4"/>
  <c r="B261" i="4"/>
  <c r="B297" i="4"/>
  <c r="B237" i="4"/>
  <c r="B289" i="4"/>
  <c r="B290" i="4"/>
  <c r="B291" i="4"/>
  <c r="B313" i="4"/>
  <c r="B25" i="4"/>
  <c r="B318" i="4"/>
  <c r="B311" i="4"/>
  <c r="B312" i="4"/>
  <c r="B319" i="4"/>
  <c r="B236" i="4"/>
  <c r="B249" i="4"/>
  <c r="B317" i="4"/>
  <c r="B315" i="4"/>
  <c r="B68" i="4"/>
  <c r="B69" i="4"/>
  <c r="B314" i="4"/>
  <c r="B331" i="4"/>
  <c r="B333" i="4"/>
  <c r="B335" i="4"/>
  <c r="B200" i="4"/>
  <c r="B228" i="4"/>
  <c r="B337" i="4"/>
  <c r="B183" i="4"/>
  <c r="B184" i="4"/>
  <c r="B179" i="4"/>
  <c r="B23" i="4"/>
  <c r="B39" i="4"/>
  <c r="B116" i="4"/>
  <c r="B164" i="4"/>
  <c r="B82" i="4"/>
  <c r="B132" i="4"/>
  <c r="B359" i="4"/>
  <c r="B343" i="4"/>
  <c r="B189" i="4"/>
  <c r="B167" i="4"/>
  <c r="B130" i="4"/>
  <c r="B84" i="4"/>
  <c r="B361" i="4"/>
  <c r="B358" i="4"/>
  <c r="B166" i="4"/>
  <c r="B165" i="4"/>
  <c r="B192" i="4"/>
  <c r="B26" i="4"/>
  <c r="B346" i="4"/>
  <c r="B193" i="4"/>
  <c r="B169" i="4"/>
  <c r="B86" i="4"/>
  <c r="B87" i="4"/>
  <c r="B173" i="4"/>
  <c r="B350" i="4"/>
  <c r="B345" i="4"/>
  <c r="B347" i="4"/>
  <c r="B180" i="4"/>
  <c r="B85" i="4"/>
  <c r="B115" i="4"/>
  <c r="B31" i="4"/>
  <c r="B30" i="4"/>
  <c r="B34" i="4"/>
  <c r="B344" i="4"/>
  <c r="B188" i="4"/>
  <c r="B176" i="4"/>
  <c r="B110" i="4"/>
  <c r="B161" i="4"/>
  <c r="B162" i="4"/>
  <c r="B76" i="4"/>
  <c r="B32" i="4"/>
  <c r="B340" i="4"/>
  <c r="B126" i="4"/>
  <c r="B73" i="4"/>
  <c r="B163" i="4"/>
  <c r="B71" i="4"/>
  <c r="B72" i="4"/>
  <c r="B168" i="4"/>
  <c r="B158" i="4"/>
  <c r="B175" i="4"/>
  <c r="B354" i="4"/>
  <c r="B78" i="4"/>
  <c r="B2" i="4"/>
  <c r="B186" i="4"/>
  <c r="B114" i="4"/>
  <c r="B341" i="4"/>
  <c r="B342" i="4"/>
  <c r="B355" i="4"/>
  <c r="B349" i="4"/>
  <c r="B352" i="4"/>
  <c r="B351" i="4"/>
  <c r="B185" i="4"/>
  <c r="B187" i="4"/>
  <c r="B33" i="4"/>
  <c r="B190" i="4"/>
  <c r="B339" i="4"/>
  <c r="B127" i="4"/>
  <c r="B77" i="4"/>
  <c r="B79" i="4"/>
  <c r="B128" i="4"/>
  <c r="B129" i="4"/>
  <c r="B360" i="4"/>
  <c r="B182" i="4"/>
  <c r="B74" i="4"/>
  <c r="B75" i="4"/>
  <c r="B177" i="4"/>
  <c r="B80" i="4"/>
  <c r="B191" i="4"/>
  <c r="B113" i="4"/>
  <c r="B111" i="4"/>
  <c r="B178" i="4"/>
  <c r="B131" i="4"/>
  <c r="B353" i="4"/>
  <c r="B356" i="4"/>
  <c r="B172" i="4"/>
  <c r="B181" i="4"/>
  <c r="B27" i="4"/>
  <c r="B112" i="4"/>
  <c r="B38" i="4"/>
  <c r="B348" i="4"/>
  <c r="B170" i="4"/>
  <c r="B159" i="4"/>
  <c r="B160" i="4"/>
  <c r="B70" i="4"/>
  <c r="B100" i="4"/>
  <c r="B122" i="4"/>
  <c r="B88" i="4"/>
  <c r="B120" i="4"/>
  <c r="B123" i="4"/>
  <c r="B92" i="4"/>
  <c r="B91" i="4"/>
  <c r="B90" i="4"/>
  <c r="B102" i="4"/>
  <c r="B96" i="4"/>
  <c r="B101" i="4"/>
  <c r="B98" i="4"/>
  <c r="B124" i="4"/>
  <c r="B117" i="4"/>
  <c r="B81" i="4"/>
  <c r="B109" i="4"/>
  <c r="B93" i="4"/>
  <c r="B83" i="4"/>
  <c r="B94" i="4"/>
  <c r="B108" i="4"/>
  <c r="B106" i="4"/>
  <c r="B125" i="4"/>
  <c r="B103" i="4"/>
  <c r="B119" i="4"/>
  <c r="B104" i="4"/>
  <c r="B99" i="4"/>
  <c r="B97" i="4"/>
  <c r="B89" i="4"/>
  <c r="B95" i="4"/>
  <c r="B107" i="4"/>
  <c r="B105" i="4"/>
  <c r="B118" i="4"/>
  <c r="B310" i="4"/>
  <c r="B323" i="4"/>
  <c r="B326" i="4"/>
  <c r="B328" i="4"/>
  <c r="B275" i="4"/>
  <c r="B322" i="4"/>
  <c r="B320" i="4"/>
  <c r="B309" i="4"/>
  <c r="B278" i="4"/>
  <c r="B324" i="4"/>
  <c r="B329" i="4"/>
  <c r="B203" i="4"/>
  <c r="B62" i="4"/>
  <c r="B24" i="4"/>
  <c r="B59" i="4"/>
  <c r="B58" i="4"/>
  <c r="B201" i="4"/>
  <c r="B204" i="4"/>
  <c r="B6" i="4"/>
  <c r="B61" i="4"/>
  <c r="B63" i="4"/>
  <c r="B3" i="4"/>
  <c r="B8" i="4"/>
  <c r="B18" i="4"/>
  <c r="B21" i="4"/>
  <c r="B66" i="4"/>
  <c r="B4" i="4"/>
  <c r="B16" i="4"/>
  <c r="B41" i="4"/>
  <c r="B64" i="4"/>
  <c r="B40" i="4"/>
  <c r="B149" i="4"/>
  <c r="B205" i="4"/>
  <c r="B155" i="4"/>
  <c r="B57" i="4"/>
  <c r="B60" i="4"/>
  <c r="B67" i="4"/>
  <c r="B14" i="4"/>
  <c r="B15" i="4"/>
  <c r="B22" i="4"/>
  <c r="B152" i="4"/>
  <c r="B10" i="4"/>
  <c r="B42" i="4"/>
  <c r="B43" i="4"/>
  <c r="B12" i="4"/>
  <c r="B11" i="4"/>
  <c r="B13" i="4"/>
  <c r="B20" i="4"/>
  <c r="B202" i="4"/>
  <c r="B65" i="4"/>
  <c r="B242" i="4"/>
  <c r="B248" i="4"/>
  <c r="B250" i="4"/>
  <c r="B269" i="4"/>
  <c r="B46" i="4"/>
  <c r="B51" i="4"/>
  <c r="B56" i="4"/>
  <c r="B45" i="4"/>
  <c r="B50" i="4"/>
  <c r="B55" i="4"/>
  <c r="B273" i="4"/>
  <c r="B241" i="4"/>
  <c r="B219" i="4"/>
  <c r="B270" i="4"/>
  <c r="B47" i="4"/>
  <c r="B48" i="4"/>
  <c r="B44" i="4"/>
  <c r="B52" i="4"/>
  <c r="B53" i="4"/>
  <c r="B233" i="4"/>
  <c r="B235" i="4"/>
  <c r="B229" i="4"/>
  <c r="B218" i="4"/>
  <c r="B217" i="4"/>
  <c r="B212" i="4"/>
  <c r="B207" i="4"/>
  <c r="B232" i="4"/>
  <c r="B222" i="4"/>
  <c r="B220" i="4"/>
  <c r="B224" i="4"/>
  <c r="B243" i="4"/>
  <c r="B246" i="4"/>
  <c r="B267" i="4"/>
  <c r="B230" i="4"/>
  <c r="B234" i="4"/>
  <c r="B221" i="4"/>
  <c r="B240" i="4"/>
  <c r="B210" i="4"/>
  <c r="B211" i="4"/>
  <c r="B206" i="4"/>
  <c r="B209" i="4"/>
  <c r="B231" i="4"/>
  <c r="B226" i="4"/>
  <c r="B49" i="4"/>
  <c r="B54" i="4"/>
  <c r="B215" i="4"/>
  <c r="B225" i="4"/>
  <c r="B227" i="4"/>
  <c r="B208" i="4"/>
  <c r="B216" i="4"/>
  <c r="B272" i="4"/>
  <c r="B274" i="4"/>
  <c r="B244" i="4"/>
  <c r="B245" i="4"/>
  <c r="B247" i="4"/>
  <c r="B276" i="4"/>
  <c r="B251" i="4"/>
  <c r="B287" i="4"/>
  <c r="B266" i="4"/>
  <c r="B268" i="4"/>
  <c r="B271" i="4"/>
  <c r="B286" i="4"/>
  <c r="B238" i="4"/>
  <c r="B304" i="4"/>
  <c r="B302" i="4"/>
  <c r="B306" i="4"/>
  <c r="B285" i="4"/>
  <c r="B150" i="4"/>
  <c r="B153" i="4"/>
  <c r="B156" i="4"/>
  <c r="B330" i="4"/>
  <c r="B327" i="4"/>
  <c r="B325" i="4"/>
  <c r="B280" i="4"/>
  <c r="B277" i="4"/>
  <c r="B151" i="4"/>
  <c r="B171" i="4"/>
  <c r="B9" i="4"/>
  <c r="B28" i="4"/>
  <c r="B174" i="4"/>
  <c r="B332" i="4"/>
  <c r="B334" i="4"/>
  <c r="B293" i="4"/>
  <c r="B321" i="4"/>
  <c r="B338" i="4"/>
  <c r="B5" i="4"/>
  <c r="B336" i="4"/>
  <c r="B154" i="4"/>
  <c r="B157" i="4"/>
  <c r="B29" i="4"/>
  <c r="B19" i="4"/>
  <c r="B7" i="4"/>
  <c r="B17" i="4"/>
  <c r="B357" i="4"/>
  <c r="B133" i="4"/>
  <c r="B134" i="4"/>
  <c r="B135" i="4"/>
  <c r="B136" i="4"/>
  <c r="B137" i="4"/>
  <c r="B138" i="4"/>
  <c r="B143" i="4"/>
  <c r="B139" i="4"/>
  <c r="B362" i="4"/>
  <c r="B144" i="4"/>
  <c r="B363" i="4"/>
  <c r="B365" i="4"/>
  <c r="B364" i="4"/>
  <c r="B142" i="4"/>
  <c r="B140" i="4"/>
  <c r="B141" i="4"/>
  <c r="B146" i="4"/>
  <c r="B145" i="4"/>
  <c r="B194" i="4"/>
  <c r="B195" i="4"/>
  <c r="B147" i="4"/>
  <c r="B198" i="4"/>
  <c r="B197" i="4"/>
  <c r="B196" i="4"/>
  <c r="B148" i="4"/>
  <c r="B199" i="4"/>
  <c r="B35" i="4"/>
  <c r="B36" i="4"/>
  <c r="B283" i="4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Y138" i="4" l="1"/>
  <c r="Y149" i="4"/>
  <c r="Y253" i="4"/>
  <c r="Y265" i="4"/>
  <c r="Y257" i="4"/>
  <c r="Y148" i="4"/>
  <c r="Y140" i="4"/>
  <c r="Y248" i="4"/>
  <c r="Y252" i="4"/>
  <c r="Y141" i="4"/>
  <c r="Y244" i="4"/>
  <c r="Y142" i="4"/>
  <c r="Y274" i="4"/>
  <c r="Y249" i="4"/>
  <c r="Y145" i="4"/>
  <c r="Y139" i="4"/>
  <c r="Y147" i="4"/>
  <c r="Y143" i="4"/>
  <c r="Y134" i="4"/>
  <c r="Y322" i="4"/>
  <c r="Y42" i="4"/>
  <c r="Y116" i="4"/>
  <c r="Y217" i="4"/>
  <c r="Y133" i="4"/>
  <c r="Y358" i="4"/>
  <c r="Y137" i="4"/>
  <c r="Y135" i="4"/>
  <c r="Y43" i="4"/>
  <c r="Y65" i="4"/>
  <c r="Y251" i="4"/>
  <c r="Y61" i="4"/>
  <c r="Y52" i="4"/>
  <c r="Y36" i="4"/>
  <c r="Y44" i="4"/>
  <c r="Y68" i="4"/>
  <c r="Y55" i="4"/>
  <c r="Y106" i="4"/>
  <c r="Y286" i="4"/>
  <c r="Y40" i="4"/>
  <c r="Y203" i="4"/>
  <c r="Y63" i="4"/>
  <c r="Y41" i="4"/>
  <c r="Y136" i="4"/>
  <c r="Y37" i="4"/>
  <c r="Y57" i="4"/>
  <c r="Y230" i="4"/>
  <c r="Y205" i="4"/>
  <c r="Y275" i="4"/>
  <c r="Y276" i="4"/>
  <c r="Y277" i="4"/>
  <c r="Y113" i="4"/>
  <c r="Y60" i="4"/>
  <c r="Y299" i="4"/>
  <c r="Y250" i="4"/>
  <c r="Y204" i="4"/>
  <c r="Y69" i="4"/>
  <c r="Y144" i="4"/>
  <c r="Y202" i="4"/>
  <c r="Y278" i="4"/>
  <c r="Y84" i="4"/>
  <c r="Y83" i="4"/>
  <c r="Y298" i="4"/>
  <c r="Y323" i="4"/>
  <c r="Y62" i="4"/>
  <c r="Y241" i="4"/>
  <c r="Y64" i="4"/>
  <c r="Y287" i="4"/>
</calcChain>
</file>

<file path=xl/sharedStrings.xml><?xml version="1.0" encoding="utf-8"?>
<sst xmlns="http://schemas.openxmlformats.org/spreadsheetml/2006/main" count="5794" uniqueCount="1342">
  <si>
    <t>Material</t>
  </si>
  <si>
    <t>Material Description</t>
  </si>
  <si>
    <t>Plant</t>
  </si>
  <si>
    <t>BOM Usage</t>
  </si>
  <si>
    <t>Alternative BOM</t>
  </si>
  <si>
    <t>Compound 1</t>
  </si>
  <si>
    <t>BOM (GR)</t>
  </si>
  <si>
    <t>Compound 2</t>
  </si>
  <si>
    <t>Compound 3</t>
  </si>
  <si>
    <t>Yarn</t>
  </si>
  <si>
    <t>VHFUNC-MS0080S-EH</t>
  </si>
  <si>
    <t>Hose Vacuum MK482388</t>
  </si>
  <si>
    <t>2504</t>
  </si>
  <si>
    <t>1</t>
  </si>
  <si>
    <t>COMPOUND PE17720 RIBBON</t>
  </si>
  <si>
    <t>VHFUNC-MS0120S-EH</t>
  </si>
  <si>
    <t>Hose Vacuum MK551876</t>
  </si>
  <si>
    <t>VHFUNC-MS0090S-EH</t>
  </si>
  <si>
    <t>Hose Vacuum MK432694</t>
  </si>
  <si>
    <t>VHFUNC-MS0100S-EH</t>
  </si>
  <si>
    <t>Hose Vacuum MAG/VAL-PIPE MK515626</t>
  </si>
  <si>
    <t>VHFUNC-MS0110S-EH</t>
  </si>
  <si>
    <t>Hose Vacuum MK515628</t>
  </si>
  <si>
    <t>VHFUNC-TA1741R-EH</t>
  </si>
  <si>
    <t>HOSE, FUEL 77259-KK040</t>
  </si>
  <si>
    <t>COMPOUND N017910 RIBBON</t>
  </si>
  <si>
    <t>COMPOUND N017800 RIBBON</t>
  </si>
  <si>
    <t>COMPOUND K016380 RIBBON</t>
  </si>
  <si>
    <t>YARN SPAN PET 20 /6</t>
  </si>
  <si>
    <t>VHFUNC-TA1553R-EH</t>
  </si>
  <si>
    <t>HOSE CHECK VALVE TO CONN.T. 44772-KK030</t>
  </si>
  <si>
    <t>COMPOUND N017520 RIBBON</t>
  </si>
  <si>
    <t>COMPOUND C1651 RIBBON</t>
  </si>
  <si>
    <t>COMPOUND C01654 RIBBON</t>
  </si>
  <si>
    <t>POLIESTER YARN 1500/D1</t>
  </si>
  <si>
    <t>VHFUNC-TA1581R-EH</t>
  </si>
  <si>
    <t>HOSE UNION TO CONNECTOR TUBE 44774-KK080</t>
  </si>
  <si>
    <t>COMPOUND K-1652 SO RIBBON</t>
  </si>
  <si>
    <t>COMPOUND K016530 RIBBON</t>
  </si>
  <si>
    <t>VHFUNC-TA1582R-EH</t>
  </si>
  <si>
    <t>HOSE UNION CHECK VALVE 44773-KK030</t>
  </si>
  <si>
    <t>VHFUNC-TA1840D-EH</t>
  </si>
  <si>
    <t>HOSE FUEL VAPOR FEED NO.1 23826-0Y040</t>
  </si>
  <si>
    <t>COMPOUND N017150 RIBBON</t>
  </si>
  <si>
    <t>COMPOUND H016030 RIBBON</t>
  </si>
  <si>
    <t>VHFUNC-TA1800R-EH</t>
  </si>
  <si>
    <t>HOSE AIR NO.1 17341-0Y010</t>
  </si>
  <si>
    <t>VHFUNC-TA1810R-EH</t>
  </si>
  <si>
    <t>HOSE AIR NO.2  17342-0Y010</t>
  </si>
  <si>
    <t>VHFUNC-TA1921R-EH</t>
  </si>
  <si>
    <t>HOSE, FUEL, NO.2 23273-0L190A</t>
  </si>
  <si>
    <t>COMPOUND F152RX RIBBON</t>
  </si>
  <si>
    <t>COMPOUND N017600 RIBBON</t>
  </si>
  <si>
    <t>COMPOUND K017080 RIBBON</t>
  </si>
  <si>
    <t>VHFUNC-TA1551R-EH</t>
  </si>
  <si>
    <t>HOSE AIR NO. 2 17342-0C100</t>
  </si>
  <si>
    <t>VHFUNC-TA1511R-EH</t>
  </si>
  <si>
    <t>DON'T USED</t>
  </si>
  <si>
    <t>VHFUNC-TA1541R-EH</t>
  </si>
  <si>
    <t>HOSE UNION TO CONN TUBE 44774-KK070</t>
  </si>
  <si>
    <t>VHFUNC-TA1722R-EH</t>
  </si>
  <si>
    <t>HOSE, FUEL NO.3 23274-0L070</t>
  </si>
  <si>
    <t>VHFUNC-TA1562R-EH</t>
  </si>
  <si>
    <t>HOSE VACUUM TUBE CONNECTOR  44771-kk070</t>
  </si>
  <si>
    <t>VHFUNC-TA1160D-EH</t>
  </si>
  <si>
    <t>BREATHER SUB-ASSY, TRANS 33019-0K070</t>
  </si>
  <si>
    <t>COMPOUND PE1755 RIBBON</t>
  </si>
  <si>
    <t>VHFUNC-TA1882R-EH</t>
  </si>
  <si>
    <t>HOSE FUEL NO.2 23273-0L220 B</t>
  </si>
  <si>
    <t>VHFUNC-TA1970D-EH</t>
  </si>
  <si>
    <t>HOSE FUEL VAPOR FEED NO 2 23827-0C060</t>
  </si>
  <si>
    <t>VHFUNC-TA1733R-EH</t>
  </si>
  <si>
    <t>HOSE, FUEL 77259-KK060B</t>
  </si>
  <si>
    <t>VHFUNC-TA1922R-EH</t>
  </si>
  <si>
    <t>HOSE, FUEL, NO.2 23273-0L190B</t>
  </si>
  <si>
    <t>VHFUNC-TA1881R-EH</t>
  </si>
  <si>
    <t>HOSE FUEL NO.2 23273-0L220 A</t>
  </si>
  <si>
    <t>VHFUNC-TA1942R-EH</t>
  </si>
  <si>
    <t>HOSE, FUEL, NO.2 23273-0L200 B</t>
  </si>
  <si>
    <t>VHFUNC-TA1941R-EH</t>
  </si>
  <si>
    <t>HOSE, FUEL, NO.2 23273-0L200 A</t>
  </si>
  <si>
    <t>VHFUNC-TA1950R-EH</t>
  </si>
  <si>
    <t>HOSE FUEL NO.2 23273-0L121</t>
  </si>
  <si>
    <t>VHFUNC-TA1820D-EH</t>
  </si>
  <si>
    <t>HOSE VENTILATION NO.2 12262-0Y090</t>
  </si>
  <si>
    <t>COMPOUND N016630 RIBBON</t>
  </si>
  <si>
    <t>VHFUNC-TA1771R-EH</t>
  </si>
  <si>
    <t>HOSE, WATER BY-PASS GH699-44370</t>
  </si>
  <si>
    <t>COMPOUND E016900 RIBBON</t>
  </si>
  <si>
    <t>NYLON YARN 940/2</t>
  </si>
  <si>
    <t>VHFUNC-TA1731R-EH</t>
  </si>
  <si>
    <t>HOSE, FUEL, NO. 3 23274-0L100</t>
  </si>
  <si>
    <t>VHFUNC-TA1572R-EH</t>
  </si>
  <si>
    <t>HOSE UNION TO CHECK VALVE 44773-KK030</t>
  </si>
  <si>
    <t>VHFUNC-TA1050R-EH</t>
  </si>
  <si>
    <t>HOSE WATER BY PASS NO 5 16282-0C010-A</t>
  </si>
  <si>
    <t>COMPOUND E017900 RIBBON</t>
  </si>
  <si>
    <t>NYLON YARN 1400/2</t>
  </si>
  <si>
    <t>VHFUNC-TA1040R-EH</t>
  </si>
  <si>
    <t>HOSE WATER BY PASS NO 4 16281-0C011</t>
  </si>
  <si>
    <t>VHFUNC-TA1512R-EH</t>
  </si>
  <si>
    <t>VHFUNC-TA1554R-EH</t>
  </si>
  <si>
    <t>HOSE CHECK VALVE TO CONN.T.44772-KK020</t>
  </si>
  <si>
    <t>VHFUNC-TA1552R-EH</t>
  </si>
  <si>
    <t>HOSE CHECK VALVE TO B BOOST 44772-KK040</t>
  </si>
  <si>
    <t>VHFUNC-TA1372R-EH</t>
  </si>
  <si>
    <t>HOSE, FUEL, NO.2 23273-0L130 B</t>
  </si>
  <si>
    <t>VHFUNC-VL0020S-EH</t>
  </si>
  <si>
    <t>EPDM Solid 12260-BZ080</t>
  </si>
  <si>
    <t>COMPOUND E017070 RIBBON</t>
  </si>
  <si>
    <t>VHFUNC-TA1732R-EH</t>
  </si>
  <si>
    <t>HOSE, FUEL, NO.3 77259-KK060A</t>
  </si>
  <si>
    <t>VHFUNC-TA2010R-EH</t>
  </si>
  <si>
    <t>HOSE CHECK VALVE TO CON TUBE 44772-0D460</t>
  </si>
  <si>
    <t>VHFUNC-TA1990R-EH</t>
  </si>
  <si>
    <t>HOSE AIR NO 3 17343-0Y020</t>
  </si>
  <si>
    <t>VHFUNC-TA1980R-EH</t>
  </si>
  <si>
    <t>HOSE AIR NO 1 17341-0Y080</t>
  </si>
  <si>
    <t>VHFUNC-VL0010S-EH</t>
  </si>
  <si>
    <t>EPDM Solid 23827-BZ020</t>
  </si>
  <si>
    <t>VHFUNC-TA1900R-EH</t>
  </si>
  <si>
    <t>HOSE FUEL NO.3 23274-0L100-A</t>
  </si>
  <si>
    <t>VHFUNC-TA1571R-EH</t>
  </si>
  <si>
    <t>HOSE UNION TO CONNECTOR TUBE 44774-KK040</t>
  </si>
  <si>
    <t>VHFUNC-TA1890R-EH</t>
  </si>
  <si>
    <t>HOSE WATER BY-PASS NO.2 16264-0L070</t>
  </si>
  <si>
    <t>VHFUNC-TA1780R-EH</t>
  </si>
  <si>
    <t>HOSE RADIATOR NO.1 16571-0Y280</t>
  </si>
  <si>
    <t>VHFUNC-TA1860S-EH</t>
  </si>
  <si>
    <t>HOSE CLUTCH RESERVOIR 31434-0D120</t>
  </si>
  <si>
    <t>COMPOUND E-1776 SO RIBBON</t>
  </si>
  <si>
    <t>VHFUNC-TA1542R-EH</t>
  </si>
  <si>
    <t>HOSE UNION TO CHECK VALVE 44773-KK030-A</t>
  </si>
  <si>
    <t>VHFUNC-TA1721R-EH</t>
  </si>
  <si>
    <t>HOSE, FUEL 77259-KK030</t>
  </si>
  <si>
    <t>VHFUNC-TA1742R-EH</t>
  </si>
  <si>
    <t>HOSE, FUEL NO.3 23274-0L060</t>
  </si>
  <si>
    <t>VHFUNC-TA1850D-EH</t>
  </si>
  <si>
    <t>HOSE FUEL VAPOR FEED NO.2 23827-0Y110</t>
  </si>
  <si>
    <t>VHFUNC-TA1561R-EH</t>
  </si>
  <si>
    <t>HOSE AIR NO. 2 17342-0C090</t>
  </si>
  <si>
    <t>VHFUNC-TA1563R-EH</t>
  </si>
  <si>
    <t>VHFUNC-TA1564R-EH</t>
  </si>
  <si>
    <t>VHFUNC-TA1830R-EH</t>
  </si>
  <si>
    <t>HOSE WATER BY-PASS NO.4 16281-0Y030</t>
  </si>
  <si>
    <t>VHFUNC-TA1371R-EH</t>
  </si>
  <si>
    <t>HOSE, FUEL, NO.2 23273-0L130 A</t>
  </si>
  <si>
    <t>VHFUNC-TA1772R-EH</t>
  </si>
  <si>
    <t>HOSE, WATER BY-PASS GH699-44380</t>
  </si>
  <si>
    <t>VHFUNC-TA1773R-EH</t>
  </si>
  <si>
    <t>HOSE, WATER BY-PASS GH699-44390</t>
  </si>
  <si>
    <t>VHFUNC-TA1774R-EH</t>
  </si>
  <si>
    <t>HOSE, WATER BY-PASS GH699-44410</t>
  </si>
  <si>
    <t>VHFUNC-TA2003R-EH</t>
  </si>
  <si>
    <t>HOSE VACUUM TUBE CONNECTOR 44771-0D230</t>
  </si>
  <si>
    <t>VHFUNC-VL0040S-EH</t>
  </si>
  <si>
    <t>EPDM SOLID L=130 ±3 ID=15,5 T=2</t>
  </si>
  <si>
    <t>VHFUNC-HN0490R-EH</t>
  </si>
  <si>
    <t>HOSE VACUM RSVR TO BRK BOST 44776-F1010</t>
  </si>
  <si>
    <t>VHFUNC-TA2030R-EH</t>
  </si>
  <si>
    <t>HOSE UNION TO CONNECTOR TUBE 44774-0D240</t>
  </si>
  <si>
    <t>VHFUNC-TA2001R-EH</t>
  </si>
  <si>
    <t>HOSE CHECK VALVE TO CONN. T 44772-0D470</t>
  </si>
  <si>
    <t>VHFUNC-TA2002R-EH</t>
  </si>
  <si>
    <t>HOSE CHECK VALVE TO CONN. T 44772-0D480</t>
  </si>
  <si>
    <t>VHFUNC-TA2040D-EH</t>
  </si>
  <si>
    <t>HOSE VENTILATION NO 2 12262-0Y130</t>
  </si>
  <si>
    <t>VHFUNC-TA0220R-EH</t>
  </si>
  <si>
    <t>HOSE SELENOID TO RETARDER 44773-0W020</t>
  </si>
  <si>
    <t>COMPOUND SO N 1774 RIBBON</t>
  </si>
  <si>
    <t>COMPOUND H-1607 SO RIBBON</t>
  </si>
  <si>
    <t>COMPOUND C016530 RIBBON</t>
  </si>
  <si>
    <t>VHFUNC-TA0240R-EH</t>
  </si>
  <si>
    <t>HOSE BRAKE BOOSTER 44776-0W010</t>
  </si>
  <si>
    <t>VHFUNC-TA0250R-EH</t>
  </si>
  <si>
    <t>HOSE CONNECTOR CHECK VALVE 44778-0W010</t>
  </si>
  <si>
    <t>VHFUNC-TA0280R-EH</t>
  </si>
  <si>
    <t>HOSE FUEL NO 2 77279-0W010</t>
  </si>
  <si>
    <t>COMPOUND N1708 RIBBON</t>
  </si>
  <si>
    <t>COMPOUND K-1655 SO RIBBON</t>
  </si>
  <si>
    <t>VHFUNC-HN0260D-EH</t>
  </si>
  <si>
    <t>HOSE VACUUM 44771-2250</t>
  </si>
  <si>
    <t>COMPOUND K-1785 SO RIBBON</t>
  </si>
  <si>
    <t>COMPOUND H-1605 SO RIBBON</t>
  </si>
  <si>
    <t>VHFUNC-TA0270R-EH</t>
  </si>
  <si>
    <t>HOSE FUEL NO 1 77259-0W020</t>
  </si>
  <si>
    <t>VHFUNC-TA0260R-EH</t>
  </si>
  <si>
    <t>HOSE FUEL NO 1 77259-0W010</t>
  </si>
  <si>
    <t>VHFUNC-TA136AR-EH</t>
  </si>
  <si>
    <t>HOSE AIR NO 1 17341-0C160</t>
  </si>
  <si>
    <t>VHFUNC-TA148AR-EH</t>
  </si>
  <si>
    <t>HOSE AIR NO 1 17341-0C170</t>
  </si>
  <si>
    <t>VHFUNC-TA0600D-EH</t>
  </si>
  <si>
    <t>HOSE FUEL VAPOR FEED NO.2 23827-0M100</t>
  </si>
  <si>
    <t>VHFUNC-TA2020R-EH</t>
  </si>
  <si>
    <t>Hose Union To Connector Tube 44774-0D230</t>
  </si>
  <si>
    <t>VHFUNC-TA2005R-EH</t>
  </si>
  <si>
    <t>HOSE AIR NO.2   17342-0Y090</t>
  </si>
  <si>
    <t>VHFUNC-NA1821D-EH</t>
  </si>
  <si>
    <t>HOSE CHARCOAL CAN OUTLET 77754-BZ300</t>
  </si>
  <si>
    <t>COMPOUND N017180 RIBBON</t>
  </si>
  <si>
    <t>VHFUNC-NA1822D-EH</t>
  </si>
  <si>
    <t>HOSE CHARCOAL CAN OUTLET 77754-BZ310</t>
  </si>
  <si>
    <t>VHFUNC-TA0370R-EH</t>
  </si>
  <si>
    <t>VHFUNC-TA0230R-EH</t>
  </si>
  <si>
    <t>HOSE UNION TO CONNECTOR TUBE 44774-0W010</t>
  </si>
  <si>
    <t>VHFUNC-TA0210R-EH</t>
  </si>
  <si>
    <t>HOSE VACUUM TUBE CONNECTOR 44771-0W020</t>
  </si>
  <si>
    <t>VHFUNC-TA2004R-EH</t>
  </si>
  <si>
    <t>HOSE VACUUM TUBE CONNECTOR 44771-0D220</t>
  </si>
  <si>
    <t>VHFUNC-TA2541R-EH</t>
  </si>
  <si>
    <t>HOSE FUEL NO 2 23273-0L191</t>
  </si>
  <si>
    <t>VHFUNC-TA2542R-EH</t>
  </si>
  <si>
    <t>VHFUNC-TA2551R-EH</t>
  </si>
  <si>
    <t>HOSE FUEL NO 2 23273-0L221</t>
  </si>
  <si>
    <t>VHFUNC-TA0400S-EH</t>
  </si>
  <si>
    <t>HOSE CLUTCH RESERVOIR 31434-0K030</t>
  </si>
  <si>
    <t>VHFUNC-TA0390D-EH</t>
  </si>
  <si>
    <t>HOSE OIL RETURN 12268-942LL-D</t>
  </si>
  <si>
    <t>COMPOUND K16490 RIBBON</t>
  </si>
  <si>
    <t>VHFUNC-TA2570R-EH</t>
  </si>
  <si>
    <t>HOSE AIR NO 2 17342-0C160</t>
  </si>
  <si>
    <t>VHFUNC-TA2560R-EH</t>
  </si>
  <si>
    <t>HOSE AIR NO 2 17342-0C150</t>
  </si>
  <si>
    <t>VHFUNC-TA121AR-EH</t>
  </si>
  <si>
    <t>HOSE AIR NO 1 17341-0C180</t>
  </si>
  <si>
    <t>VHFUNC-TA2552R-EH</t>
  </si>
  <si>
    <t>VHFUNC-PM1290R-EH</t>
  </si>
  <si>
    <t>HOSE, FUEL FEED P001691350</t>
  </si>
  <si>
    <t>COMPOUND F1758A SO RIBBON</t>
  </si>
  <si>
    <t>COMPOUND K-1787 SO RIBBON</t>
  </si>
  <si>
    <t>YARN SPAN  PET 20 /3</t>
  </si>
  <si>
    <t>VHFUNC-PM1300R-EH</t>
  </si>
  <si>
    <t>HOSE, FUEL RETURN P001069600</t>
  </si>
  <si>
    <t>VHFUNC-PM1250R-EH</t>
  </si>
  <si>
    <t>HOSE FUEL FEED FRT 898309-5300</t>
  </si>
  <si>
    <t>VHFUNC-HN0300R-EH</t>
  </si>
  <si>
    <t>HOSE OIL RESERVOIR TO PUMP 44348-E0160</t>
  </si>
  <si>
    <t>COMPOUND P01766 SO RIBBON</t>
  </si>
  <si>
    <t>VHFUNC-MS0240R-EH</t>
  </si>
  <si>
    <t>OIL HOSE RETURN A 430 187 00 82</t>
  </si>
  <si>
    <t>VHFUNC-NA2820D-EH</t>
  </si>
  <si>
    <t>HOSE FUEL VAPOOR FEED NO.2 23827-BZ130</t>
  </si>
  <si>
    <t>VHFUNC-PM1120R-EH</t>
  </si>
  <si>
    <t>HOSE PCV 897517-0170</t>
  </si>
  <si>
    <t>VHFUNC-NA2032R-EH</t>
  </si>
  <si>
    <t>HOSE FUEL VAPOR FEED NO 2 23827-BZ140-H</t>
  </si>
  <si>
    <t>COMPOUND H - 1611 SO RIBBON</t>
  </si>
  <si>
    <t>COMPOUND C - 1658 SO RIBBON</t>
  </si>
  <si>
    <t>VHFUNC-NA3150R-EH</t>
  </si>
  <si>
    <t>HOSE WATER NO 2 87246-BZ390</t>
  </si>
  <si>
    <t>VHFUNC-TA3000R-EH</t>
  </si>
  <si>
    <t>HOSE, RADIATOR, NO. 2 16572-BZ460-H</t>
  </si>
  <si>
    <t>VHFUNC-TA2634R-EH</t>
  </si>
  <si>
    <t>HOSE, RADIATOR, NO. 4 16574-VT020</t>
  </si>
  <si>
    <t>VHFUNC-PM1360S-EH</t>
  </si>
  <si>
    <t>HOSE VACUUM PUMP TO PIPEP P008082400</t>
  </si>
  <si>
    <t>VHFUNC-PM1150R-EH</t>
  </si>
  <si>
    <t>HOSE F/P PMP FUEL RTN 001805-2200</t>
  </si>
  <si>
    <t>VHFUNC-NA3110R-EH</t>
  </si>
  <si>
    <t>HOSE RADIATOR NO 2 16572-BZ430-H</t>
  </si>
  <si>
    <t>VHFUNC-NA2033R-EH</t>
  </si>
  <si>
    <t>HOSE FUEL VAPOR FEED NO 3 23828-BZ010-H</t>
  </si>
  <si>
    <t>VHFUNC-TA109AR-EH</t>
  </si>
  <si>
    <t>HOSE FUEL NO. 1 23271-0L141</t>
  </si>
  <si>
    <t>VHFUNC-TA3020D-EH</t>
  </si>
  <si>
    <t>HOSE TUBE TO TUBE 31432-D03BL-1</t>
  </si>
  <si>
    <t>VHFUNC-TA2990D-EH</t>
  </si>
  <si>
    <t>HOSE VENTILATION NO 1 12261-BZ310</t>
  </si>
  <si>
    <t>VHFUNC-PM1140R-EH</t>
  </si>
  <si>
    <t>HOSE FUEL FEED FILL TO PIPE 897517-7101</t>
  </si>
  <si>
    <t>VHFUNC-PM1130R-EH</t>
  </si>
  <si>
    <t>HOSE P/S GR OTLT 0098093800</t>
  </si>
  <si>
    <t>VHFUNC-TA2590S-EH</t>
  </si>
  <si>
    <t>HOSE SLIDING ROOF DRAIN 63249-VT010</t>
  </si>
  <si>
    <t>TPO MILASTOMER 8032 NS NATURAL</t>
  </si>
  <si>
    <t>VHFUNC-TA2610S-EH</t>
  </si>
  <si>
    <t>HOSE SLIDING ROOF DRAIN63249-VT030</t>
  </si>
  <si>
    <t>VHFUNC-TA2600S-EH</t>
  </si>
  <si>
    <t>HOSE SLIDING ROOF DRAIN 63249-VT020</t>
  </si>
  <si>
    <t>VHFUNC-TA2620S-EH</t>
  </si>
  <si>
    <t>HOSE SLIDING ROOF DRAIN 63249-VT040</t>
  </si>
  <si>
    <t>VHFUNC-PM1420R-EH</t>
  </si>
  <si>
    <t>HOSE FUEL BENT TYPE DELIVERY P566002390</t>
  </si>
  <si>
    <t>VHFUNC-HN0530R-EH</t>
  </si>
  <si>
    <t>HOSE VACUUM TUBE CONET 44771-YX010</t>
  </si>
  <si>
    <t>VHFUNC-TA2660R-EH</t>
  </si>
  <si>
    <t>HOSE, RADIATOR, NO. 2 16572-VT040-A</t>
  </si>
  <si>
    <t>VHFUNC-PM1430R-EH</t>
  </si>
  <si>
    <t>HOSE BY PASS 8982356362</t>
  </si>
  <si>
    <t>VHFUNC-PM1170R-EH</t>
  </si>
  <si>
    <t>HOSE FUEL FEED TANK SIDE 897517-7091</t>
  </si>
  <si>
    <t>VHFUNC-NA2050D-EH</t>
  </si>
  <si>
    <t>HOSE, VENTILATION, NO.2 12262-BZ200</t>
  </si>
  <si>
    <t>VHFUNC-NA2060D-EH</t>
  </si>
  <si>
    <t>HOSE, FUEL EMISSION 77249-BZ030</t>
  </si>
  <si>
    <t>VHFUNC-PM1200R-EH</t>
  </si>
  <si>
    <t>HOSE ASM FUEL BE 898353-0511</t>
  </si>
  <si>
    <t>VHFUNC-TA2700R-EH</t>
  </si>
  <si>
    <t>HOSE, INVT COOLING, NO. 4 G9228-VT020</t>
  </si>
  <si>
    <t>VHFUNC-TA2650R-EH</t>
  </si>
  <si>
    <t>HOSE, RADIATOR, NO. 2 16572-VT020-A</t>
  </si>
  <si>
    <t>VHFUNC-TA2670R-EH</t>
  </si>
  <si>
    <t>HOSE, INVT COOLING, NO. 1 G9225-VT020</t>
  </si>
  <si>
    <t>VHFUNC-PM1260R-EH</t>
  </si>
  <si>
    <t>HOSE FUEL 0018053200</t>
  </si>
  <si>
    <t>VHFUNC-NA2040D-EH</t>
  </si>
  <si>
    <t>HOSE, VENTILATION, NO.2 12262-BZ130</t>
  </si>
  <si>
    <t>VHFUNC-NA2810R-EH</t>
  </si>
  <si>
    <t>HOSE AIR NO.1 44726-BZ010</t>
  </si>
  <si>
    <t>VHFUNC-TA2600R-EH</t>
  </si>
  <si>
    <t>HOSE CHECK VALVE TO CON TUBE 44772-0D270</t>
  </si>
  <si>
    <t>VHFUNC-HN0550R-EH</t>
  </si>
  <si>
    <t>HOSE UNION TO CHECK VALVE 44773-F1010</t>
  </si>
  <si>
    <t>VHFUNC-HN0540R-EH</t>
  </si>
  <si>
    <t>HOSE VACUUM TUBE CONNECTOR 44771-F1010</t>
  </si>
  <si>
    <t>VHFUNC-HN0590R-EH</t>
  </si>
  <si>
    <t>HOSE VACUUM TUBE CONNECTOR 44771-F1020</t>
  </si>
  <si>
    <t>VHFUNC-TA2640R-EH</t>
  </si>
  <si>
    <t>HOSE, RADIATOR, NO. 1 16571-VT040-A</t>
  </si>
  <si>
    <t>VHFUNC-PM1350S-EH</t>
  </si>
  <si>
    <t>HOSE AIR BENT VAC ENG SIDE P008082420</t>
  </si>
  <si>
    <t>VHFUNC-PM1220R-EH</t>
  </si>
  <si>
    <t>HOSE GUIDE TUBE OIL LEVEL 898286-3010</t>
  </si>
  <si>
    <t>VHFUNC-NA2740R-EH</t>
  </si>
  <si>
    <t>HOSE, WATER BY-PASS NO 2 16264-BZ320</t>
  </si>
  <si>
    <t>VHFUNC-PM1090R-EH</t>
  </si>
  <si>
    <t>HOSE VACUUM BM VAC 2 WAY LHD 898259-1170</t>
  </si>
  <si>
    <t>VHFUNC-PM1100R-EH</t>
  </si>
  <si>
    <t>HOSE P/B BOSS VAC 898239-1660</t>
  </si>
  <si>
    <t>VHFUNC-NA1890R-EH</t>
  </si>
  <si>
    <t>HOSE WATER NO 2 87246-BZ220</t>
  </si>
  <si>
    <t>VHFUNC-HN0560R-EH</t>
  </si>
  <si>
    <t>HOSE UNION TO CHECK VALVE 44773-F1020</t>
  </si>
  <si>
    <t>VHFUNC-TA2631R-EH</t>
  </si>
  <si>
    <t>HOSE, WATER BY-PASS, NO. 5 16282-VT060</t>
  </si>
  <si>
    <t>VHFUNC-NA2990R-EH</t>
  </si>
  <si>
    <t>HOSE AIR NO.1 17341-BZ040</t>
  </si>
  <si>
    <t>VHFUNC-NA1860R-EH</t>
  </si>
  <si>
    <t>HOSE RADIATOR 16571-BZ390</t>
  </si>
  <si>
    <t>VHFUNC-PM1110R-EH</t>
  </si>
  <si>
    <t>HOSE WATER BOTTOM 897517-6860</t>
  </si>
  <si>
    <t>VHFUNC-NA1840R-EH</t>
  </si>
  <si>
    <t>HOSE WATER BY-PASS NO 1 16261-BZ550</t>
  </si>
  <si>
    <t>NYLON YARN 1400/1</t>
  </si>
  <si>
    <t>VHFUNC-NA1850R-EH</t>
  </si>
  <si>
    <t>HOSE WATER BY-PASS NO 4 16281-BZ070</t>
  </si>
  <si>
    <t>VHFUNC-PM1160R-EH</t>
  </si>
  <si>
    <t>HOSE;F/PMP FUEL FEED 897548-0410</t>
  </si>
  <si>
    <t>VHFUNC-PM1060R-EH</t>
  </si>
  <si>
    <t>HOSE ASM OIL BRAKE PRI 898285-1430</t>
  </si>
  <si>
    <t>VHFUNC-TA0190R-EH</t>
  </si>
  <si>
    <t>HOSE FUEL NO.1 23271-0W010</t>
  </si>
  <si>
    <t>VHFUNC-TA0682R-EH</t>
  </si>
  <si>
    <t>HOSE VENTILATION NO 2 12262-0M050</t>
  </si>
  <si>
    <t>VHFUNC-PM1210R-EH</t>
  </si>
  <si>
    <t>HOSE ASM FUEL BE 898353-0501</t>
  </si>
  <si>
    <t>VHFUNC-TA2590R-EH</t>
  </si>
  <si>
    <t>HOSE CHECK VALVE TO CON TUBE 44772-0D260</t>
  </si>
  <si>
    <t>VHFUNC-TA2722R-EH</t>
  </si>
  <si>
    <t>HOSE, UNION TO CONT TUBE 44774-VT010</t>
  </si>
  <si>
    <t>VHFUNC-NA1910R-EH</t>
  </si>
  <si>
    <t>HOSE WATER 87245-BZ280</t>
  </si>
  <si>
    <t>VHFUNC-FM1450D-EH</t>
  </si>
  <si>
    <t>TUBE FUEL 5,3 X 580 ASSY</t>
  </si>
  <si>
    <t>COMPOUND N017240 SO RIBBON</t>
  </si>
  <si>
    <t>COMPOUND H016060 SO RIBBON</t>
  </si>
  <si>
    <t>VHFUNC-PM1320R-EH</t>
  </si>
  <si>
    <t>HOSE; FUEL BENT 8982596850</t>
  </si>
  <si>
    <t>VHFUNC-NA2800R-EH</t>
  </si>
  <si>
    <t>HOSE WATER BY PASS NO.2 16264-BZ230</t>
  </si>
  <si>
    <t>VHFUNC-TA2632R-EH</t>
  </si>
  <si>
    <t>HOSE, WATER BY-PASS, NO. 6 16283-VT040</t>
  </si>
  <si>
    <t>VHFUNC-TA2633R-EH</t>
  </si>
  <si>
    <t>HOSE, RADIATOR, NO. 1 16571-VT020</t>
  </si>
  <si>
    <t>VHFUNC-TA2730R-EH</t>
  </si>
  <si>
    <t>HOSE, UNION TO CONT TUBE 44774-VT020</t>
  </si>
  <si>
    <t>VHFUNC-TA2690R-EH</t>
  </si>
  <si>
    <t>HOSE, INVT COOLING, NO. 3G9227-VT020</t>
  </si>
  <si>
    <t>VHFUNC-TA2712R-EH</t>
  </si>
  <si>
    <t>HOSE, RESERVE TANK SIDE G9229-VT020</t>
  </si>
  <si>
    <t>VHFUNC-TA2711R-EH</t>
  </si>
  <si>
    <t>HOSE, OIL COOLER SIDE G9229-VT020</t>
  </si>
  <si>
    <t>VHFUNC-PM1310R-EH</t>
  </si>
  <si>
    <t>HOSE; RUBBER, P/ST 8981750810</t>
  </si>
  <si>
    <t>VHFUNC-PM1330S-EH</t>
  </si>
  <si>
    <t>HOSE; VACUUM, BENT 8980009670</t>
  </si>
  <si>
    <t>VHFUNC-TA0330R-EH</t>
  </si>
  <si>
    <t>HOSE VACUUM TUBE 44771-OK010</t>
  </si>
  <si>
    <t>VHFUNC-HN0580R-EH</t>
  </si>
  <si>
    <t>HOSE FUEL 77259-E0190</t>
  </si>
  <si>
    <t>VHFUNC-PM1370R-EH</t>
  </si>
  <si>
    <t>HOSE FUEL STRAIGHT 0018093600</t>
  </si>
  <si>
    <t>VHFUNC-TA2580R-EH</t>
  </si>
  <si>
    <t>HOSE FUEL NO 1 23271-0E041</t>
  </si>
  <si>
    <t>VHFUNC-NA3060R-EH</t>
  </si>
  <si>
    <t>HOSE WATER 87245-BZ450-H</t>
  </si>
  <si>
    <t>VHFUNC-NA3070R-EH</t>
  </si>
  <si>
    <t>HOSE WATER NO 2 87246-BZ370-H</t>
  </si>
  <si>
    <t>VHFUNC-NA1900R-EH</t>
  </si>
  <si>
    <t>HOSE WATER NO 2 87246-BZ310</t>
  </si>
  <si>
    <t>VHFUNC-NA1920R-EH</t>
  </si>
  <si>
    <t>HOSE WATER 87245-BZ370</t>
  </si>
  <si>
    <t>VHFUNC-NA3080R-EH</t>
  </si>
  <si>
    <t>HOSE RADIATOR NO 2 16572-BZ420-H</t>
  </si>
  <si>
    <t>VHFUNC-NA3090R-EH</t>
  </si>
  <si>
    <t>HOSE SUB-ASSY WATER 87209-BZ130-H</t>
  </si>
  <si>
    <t>VHFUNC-TA3010R-EH</t>
  </si>
  <si>
    <t>HOSE, RADIATOR, NO. 1 16571-BZ520-H</t>
  </si>
  <si>
    <t>VHFUNC-PM1280R-EH</t>
  </si>
  <si>
    <t>HOSE WATER BOTTOM 8976560180</t>
  </si>
  <si>
    <t>VHFUNC-NA1870R-EH</t>
  </si>
  <si>
    <t>HOSE WATER BY-PASS NO 2 16264-BZ220</t>
  </si>
  <si>
    <t>VHFUNC-NA1880R-EH</t>
  </si>
  <si>
    <t>HOSE WATER BY-PASS NO 1 16261-BZ560</t>
  </si>
  <si>
    <t>VHFUNC-PM1230R-EH</t>
  </si>
  <si>
    <t>HOSE WATER BENT  8982058730</t>
  </si>
  <si>
    <t>VHFUNC-NA2031R-EH</t>
  </si>
  <si>
    <t>HOSE FUEL VAPOR FEED NO 1 23826-BZ020-H</t>
  </si>
  <si>
    <t>VHFUNC-PM1410R-EH</t>
  </si>
  <si>
    <t>HOSE FUEL RET ENG SIDE P566002420</t>
  </si>
  <si>
    <t>VHFUNC-NA2780D-EH</t>
  </si>
  <si>
    <t>HOSE VENTILATION NO.1 12261-BZ210</t>
  </si>
  <si>
    <t>VHFUNC-NA2750R-EH</t>
  </si>
  <si>
    <t>HOSE, WATER BY-PASS NO 1 16261-BZ650</t>
  </si>
  <si>
    <t>VHFUNC-PM1240R-EH</t>
  </si>
  <si>
    <t>HOSE FUEL STRAIGHT 898336-3550</t>
  </si>
  <si>
    <t>VHFUNC-PM1340R-EH</t>
  </si>
  <si>
    <t>HOSE; BY PASS 8982356362</t>
  </si>
  <si>
    <t>VHFUNC-TA2610R-EH</t>
  </si>
  <si>
    <t>HOSE AIR NO 3 17343-0M010</t>
  </si>
  <si>
    <t>VHFUNC-TA0681R-EH</t>
  </si>
  <si>
    <t>HOSE FUEL VAPOR FEED NO 1 23826-0M090-A</t>
  </si>
  <si>
    <t>VHFUNC-NA3120R-EH</t>
  </si>
  <si>
    <t>HOSE SUB-ASSY WATER 87209-BZ140-H</t>
  </si>
  <si>
    <t>VHFUNC-TA2721R-EH</t>
  </si>
  <si>
    <t>HOSE, CHECK VAL TO CONT TUBE 44772-VT010</t>
  </si>
  <si>
    <t>VHFUNC-TA2970R-EH</t>
  </si>
  <si>
    <t>HOSE MOTOR COOLING NO 1 G1271-907WL</t>
  </si>
  <si>
    <t>COMPOUND P 1765 SO RIBBON</t>
  </si>
  <si>
    <t>VHFUNC-PM1190R-EH</t>
  </si>
  <si>
    <t>HOSE FUEL RETURN 8976639900</t>
  </si>
  <si>
    <t>VHFUNC-PM1270R-EH</t>
  </si>
  <si>
    <t>HOSE WATER TOP 8976560150</t>
  </si>
  <si>
    <t>VHFUNC-HN0530M-EH</t>
  </si>
  <si>
    <t>VHFUNC-NA2770R-EH</t>
  </si>
  <si>
    <t>HOSE, WATER BY-PASS NO 1 16261-BZ600</t>
  </si>
  <si>
    <t>VHFUNC-MS0230R-EH</t>
  </si>
  <si>
    <t>HOSE FUEL SUCTION A 430 078 12 02</t>
  </si>
  <si>
    <t>VHFUNC-TA2680R-EH</t>
  </si>
  <si>
    <t>HOSE, INVT COOLING, NO. 2 G9226-VT020</t>
  </si>
  <si>
    <t>VHFUNC-PM1180R-EH</t>
  </si>
  <si>
    <t>HOSE FUEL STRAIG 8976639890</t>
  </si>
  <si>
    <t>VHFUNC-PM1070R-EH</t>
  </si>
  <si>
    <t>HOSE ASM OIL BRAKE SEC 898285-1440</t>
  </si>
  <si>
    <t>VHFUNC-PM1080R-EH</t>
  </si>
  <si>
    <t>HOSE ASM CLUTCH W CLIP 898259-7690</t>
  </si>
  <si>
    <t>VHFUNC-NA1830R-EH</t>
  </si>
  <si>
    <t>HOSE WATER BY-PASS NO 3 16267-BZ080</t>
  </si>
  <si>
    <t>VHFUNC-NA2250R-EH</t>
  </si>
  <si>
    <t>HOSE, WATER, NO.2 87246-BZ290</t>
  </si>
  <si>
    <t>VHFUNC-NA2950R-EH</t>
  </si>
  <si>
    <t>HOSE WATER 87245-BZ410</t>
  </si>
  <si>
    <t>VHFUNC-NA2090R-EH</t>
  </si>
  <si>
    <t>HOSE, WATER BY-PASS, NO.1 16261-BZ610</t>
  </si>
  <si>
    <t>VHFUNC-NA2920R-EH</t>
  </si>
  <si>
    <t>HOSE WATER 87245-BZ380</t>
  </si>
  <si>
    <t>VHFUNC-NA2960R-EH</t>
  </si>
  <si>
    <t>HOSE WATER NO.2 87246-BZ320</t>
  </si>
  <si>
    <t>VMVRIP-NA2032M-EH</t>
  </si>
  <si>
    <t>VHFUNC-NA2140D-EH</t>
  </si>
  <si>
    <t>HOSE, FUEL 77259-BZ120</t>
  </si>
  <si>
    <t>VHFUNC-NA2120D-EH</t>
  </si>
  <si>
    <t>HOSE, FUEL 77259-BZ130</t>
  </si>
  <si>
    <t>VHFUNC-NA2110S-EH</t>
  </si>
  <si>
    <t>HOSE, FUEL TANK BREATHER 77269-BZ130</t>
  </si>
  <si>
    <t>COMPOUND N017330 RIBBON</t>
  </si>
  <si>
    <t>VHFUNC-NA2330R-EH</t>
  </si>
  <si>
    <t>HOSE, WATER, NO.2 87246-BZ280</t>
  </si>
  <si>
    <t>VHFUNC-NA2930R-EH</t>
  </si>
  <si>
    <t>HOSE WATER 87245-BZ390</t>
  </si>
  <si>
    <t>VHFUNC-NA2200R-EH</t>
  </si>
  <si>
    <t>HOSE, WATER, NO.2 87246-BZ250</t>
  </si>
  <si>
    <t>VHFUNC-NA2320R-EH</t>
  </si>
  <si>
    <t>HOSE, WATER, NO.2 87246-BZ240</t>
  </si>
  <si>
    <t>VHFUNC-NA2230R-EH</t>
  </si>
  <si>
    <t>HOSE, WATER 87245-BZ340</t>
  </si>
  <si>
    <t>VHFUNC-NA2970R-EH</t>
  </si>
  <si>
    <t>HOSE WATER NO.2 87246-BZ330</t>
  </si>
  <si>
    <t>VHFUNC-NA2830R-EH</t>
  </si>
  <si>
    <t>HOSE WATER BY PASS NO.1 16261-BZ430</t>
  </si>
  <si>
    <t>VMVRIP-NA2031M-EH</t>
  </si>
  <si>
    <t>VHFUNC-NA2720R-EH</t>
  </si>
  <si>
    <t>HOSE, WATER BY-PASS NO 3 16267-BZ210</t>
  </si>
  <si>
    <t>VHFUNC-NA2150R-EH</t>
  </si>
  <si>
    <t>HOSE, WATER 87245-BZ290</t>
  </si>
  <si>
    <t>VMVRIP-NA2033M-EH</t>
  </si>
  <si>
    <t>VHFUNC-NA2180R-EH</t>
  </si>
  <si>
    <t>HOSE, WATER 87245-BZ300</t>
  </si>
  <si>
    <t>VHFUNC-NA2700R-EH</t>
  </si>
  <si>
    <t>HOSE, AIR NO 1 44726-BZ020</t>
  </si>
  <si>
    <t>VHFUNC-NA2662D-EH</t>
  </si>
  <si>
    <t>HOSE, FUEL VAPOR FEED NO 2 23827-BZ150</t>
  </si>
  <si>
    <t>VHFUNC-NA2980R-EH</t>
  </si>
  <si>
    <t>HOSE WATER NO.2 87246-BZ350</t>
  </si>
  <si>
    <t>VHFUNC-NA2410R-EH</t>
  </si>
  <si>
    <t>HOSE SUB ASSY WATER 87209-BZ110</t>
  </si>
  <si>
    <t>VHFUNC-NA2910S-EH</t>
  </si>
  <si>
    <t>HOSE FUEL TANK TO BREATH 77269-BZ140</t>
  </si>
  <si>
    <t>VHFUNC-NA2630R-EH</t>
  </si>
  <si>
    <t>HOSE ASSY WATER BY-PASS NO 2 16280-BZ030</t>
  </si>
  <si>
    <t>VHFUNC-NA2240R-EH</t>
  </si>
  <si>
    <t>HOSE, WATER 87245-BZ350</t>
  </si>
  <si>
    <t>VHFUNC-NA2210R-EH</t>
  </si>
  <si>
    <t>HOSE, WATER 87245-BZ330</t>
  </si>
  <si>
    <t>VHFUNC-NA2100R-EH</t>
  </si>
  <si>
    <t>HOSE, WATER BY-PASS, NO.2 16264-BZ310</t>
  </si>
  <si>
    <t>VHFUNC-NA2190R-EH</t>
  </si>
  <si>
    <t>HOSE, WATER 87245-BZ310</t>
  </si>
  <si>
    <t>VHFUNC-NA2680R-EH</t>
  </si>
  <si>
    <t>HOSE, WATER BY-PASS, NO 1 16261-BZ660</t>
  </si>
  <si>
    <t>VHFUNC-NA2661D-EH</t>
  </si>
  <si>
    <t>VHFUNC-NA2900S-EH</t>
  </si>
  <si>
    <t>HOSE FUEL TANK TO F PIPE 77213-BZ250</t>
  </si>
  <si>
    <t>VHFUNC-TA199AR-EH</t>
  </si>
  <si>
    <t>HOSE AIR NO 3 17343-0Y021</t>
  </si>
  <si>
    <t>VHFUNC-TA2510D-EH</t>
  </si>
  <si>
    <t>HOSE FEUL VAPOR FEED NO.2 23827-0Y270</t>
  </si>
  <si>
    <t>VHFUNC-TA172A2-EH</t>
  </si>
  <si>
    <t>HOSE, FUEL NO.3 23274-0L071</t>
  </si>
  <si>
    <t>VHFUNC-TA2522R-EH</t>
  </si>
  <si>
    <t>HOSE, FUEL, NO.2 23273-0L132-A</t>
  </si>
  <si>
    <t>VHFUNC-TA2531R-EH</t>
  </si>
  <si>
    <t>HOSE FUEL 77259-KK010</t>
  </si>
  <si>
    <t>VHFUNC-TA1700D-EH</t>
  </si>
  <si>
    <t>HOSE FUEL TANK BREATHER GH319-46840-A</t>
  </si>
  <si>
    <t>COMPOUND N017400 RIBBON</t>
  </si>
  <si>
    <t>COMPOUND H016040 RIBBON</t>
  </si>
  <si>
    <t>VHFUNC-TA2500D-EH</t>
  </si>
  <si>
    <t>HOSE FEUL VAPOR FEED NO.1 23826-0Y340</t>
  </si>
  <si>
    <t>VHFUNC-TA2120R-EH</t>
  </si>
  <si>
    <t>HOSE RADIATOR NO 1  16571-0Y290</t>
  </si>
  <si>
    <t>VHFUNC-TA198AR-EH</t>
  </si>
  <si>
    <t>HOSE AIR NO.1 17341-0Y081</t>
  </si>
  <si>
    <t>VHFUNC-TA1710D-EH</t>
  </si>
  <si>
    <t>HOSE FUEL VAPOR GH319-47110</t>
  </si>
  <si>
    <t>VHFUNC-TA169AR-EH</t>
  </si>
  <si>
    <t>HOSE WATER BY-PASS NO.3 16267-0Y030-A</t>
  </si>
  <si>
    <t>VHFUNC-TA2521R-EH</t>
  </si>
  <si>
    <t>VHFUNC-TA172A1-EH</t>
  </si>
  <si>
    <t>HOSE, FUEL 77259-KK031</t>
  </si>
  <si>
    <t>VHFUNC-TA2532R-EH</t>
  </si>
  <si>
    <t>HOSE FUEL NO 3 23274-0L071</t>
  </si>
  <si>
    <t>VHFUNC-TA2540D-EH</t>
  </si>
  <si>
    <t>HOSE FUEL VAPOR FEED 23829-0L011-A</t>
  </si>
  <si>
    <t>VHFUNC-TA0500R-EH</t>
  </si>
  <si>
    <t>HOSE ASSY VACUUM 44750-0D200-1</t>
  </si>
  <si>
    <t>VHFUNC-TA0590S-EH</t>
  </si>
  <si>
    <t>HOSE CLUTCH RESERVOIR 31434-0D030</t>
  </si>
  <si>
    <t>VHFUNC-TA0610S-EH</t>
  </si>
  <si>
    <t>HOSE CLUTH RESERVOIR 31434-0D040</t>
  </si>
  <si>
    <t>VHFUNC-NA1671D-EH</t>
  </si>
  <si>
    <t>HOSE CHARCOAL CAN OUTLET 77754-BZ230</t>
  </si>
  <si>
    <t>VHFUNC-PM1050R-EH</t>
  </si>
  <si>
    <t>Hose Fuel; D.F/Filter to Pipe 9381-0349</t>
  </si>
  <si>
    <t>VHFUNC-HN0400D-EH</t>
  </si>
  <si>
    <t>HOSE VACUUM s44477-12380A0</t>
  </si>
  <si>
    <t>VHFUNC-VL0080S-EH</t>
  </si>
  <si>
    <t>EPDM SOLID L=55 T=2 D=25.5</t>
  </si>
  <si>
    <t>VHFUNC-VL0050S-EH</t>
  </si>
  <si>
    <t>EPDM SOLID PANJANG 23827-BZ080</t>
  </si>
  <si>
    <t>VHFUNC-NA1650S-EH</t>
  </si>
  <si>
    <t>HOSE FUEL TANK TO BREATHER 77269-BZ120</t>
  </si>
  <si>
    <t>VHFUNC-NA1810S-EH</t>
  </si>
  <si>
    <t>HOSE CLUTCH RESERVOIR 31434-B5010-A</t>
  </si>
  <si>
    <t>VHFUNC-TA137A2-EH</t>
  </si>
  <si>
    <t>HOSE FUEL NO.2 23273-0L131 (2)</t>
  </si>
  <si>
    <t>VHFUNC-TA105AR-EH</t>
  </si>
  <si>
    <t>HOSE WATER BY PASS NO 5 16282-0C010-B</t>
  </si>
  <si>
    <t>VHFUNC-VL0070S-EH</t>
  </si>
  <si>
    <t>EPDM SOLID 12261-BZ220</t>
  </si>
  <si>
    <t>VHFUNC-NA1640S-EH</t>
  </si>
  <si>
    <t>HOSE FUEL TANK TO FILLERPIPE 77213-BZ150</t>
  </si>
  <si>
    <t>VHFUNC-TA137A1-EH</t>
  </si>
  <si>
    <t>HOSE FUEL NO.2 23273-0L131 (1)</t>
  </si>
  <si>
    <t>VHFUNC-TA104AR-EH</t>
  </si>
  <si>
    <t>HOSE WATER BY PASS NO 4 16281-0C011-A</t>
  </si>
  <si>
    <t>VHFUNC-TA0570S-EH</t>
  </si>
  <si>
    <t>HOSE FUEL TANK TO FLR PIPE 77213-0D170</t>
  </si>
  <si>
    <t>COMPOUND N017280 RIBBON</t>
  </si>
  <si>
    <t>VHFUNC-TA0630D-EH</t>
  </si>
  <si>
    <t>HOSE S/A CAN OUTLET NO.1 77701-0D110</t>
  </si>
  <si>
    <t>VHFUNC-TA0200R-EH</t>
  </si>
  <si>
    <t>HOSE FUEL NO 2 23273-0W010</t>
  </si>
  <si>
    <t>VHFUNC-NA1760S-EH</t>
  </si>
  <si>
    <t>HOSE, RESERVOIR, NO.1 47234-BZ040</t>
  </si>
  <si>
    <t>VHFUNC-NA1770S-EH</t>
  </si>
  <si>
    <t>HOSE, RESERVOIR, NO.2 47235-BZ010</t>
  </si>
  <si>
    <t>VHFUNC-HN0160R-EH</t>
  </si>
  <si>
    <t>HOSE BRAKE BOOSTER 44776-0W030</t>
  </si>
  <si>
    <t>VHFUNC-TA137BR-EH</t>
  </si>
  <si>
    <t>HOSE, FUEL, NO.2 23273-0L132</t>
  </si>
  <si>
    <t>VHFUNC-NA1662D-EH</t>
  </si>
  <si>
    <t>HOSE CHARCOAL CAN OUTLET NO1 77754-BZ260</t>
  </si>
  <si>
    <t>VHFUNC-NA1672D-EH</t>
  </si>
  <si>
    <t>HOSE CHARCOAL CAN OUTLET NO1 77754-BZ250</t>
  </si>
  <si>
    <t>VHFUNC-HN0140R-EH</t>
  </si>
  <si>
    <t>HOSE FUEL NO.2 23273-0W020</t>
  </si>
  <si>
    <t>VHFUNC-HN0170R-EH</t>
  </si>
  <si>
    <t>HOSE VACUUM T. TO CONNECT TB 44778-0W030</t>
  </si>
  <si>
    <t>VHFUNC-HN0250R-EH</t>
  </si>
  <si>
    <t>HOSE VACUUM T TO CONNCTOR 44778-OW020-A</t>
  </si>
  <si>
    <t>VHFUNC-HN0280D-EH</t>
  </si>
  <si>
    <t>HOSE VACUUM S4477-1237000</t>
  </si>
  <si>
    <t>VHFUNC-VL0060S-EH</t>
  </si>
  <si>
    <t>EPDM SOLID PENDEK 23827-BZ080</t>
  </si>
  <si>
    <t>VHFUNC-NA1801D-EH</t>
  </si>
  <si>
    <t>Hose Charcoal Can. Outlet 77754-BZ320-H</t>
  </si>
  <si>
    <t>VHFUNC-HN0150R-EH</t>
  </si>
  <si>
    <t>HOSE VACUUM RSRVOIR TO BR BS 44776-0W020</t>
  </si>
  <si>
    <t>VHFUNC-HN0240R-EH</t>
  </si>
  <si>
    <t>HOSE SOLENOID TO RETARDER 44773-OW030-A</t>
  </si>
  <si>
    <t>VHFUNC-NA1280D-EH</t>
  </si>
  <si>
    <t>HOSE CHARCOAL CAN OUTLET 77754-BZ080</t>
  </si>
  <si>
    <t>VHFUNC-VL0030S-EH</t>
  </si>
  <si>
    <t>EPDM SOLID L=30 T=2 D=15.5</t>
  </si>
  <si>
    <t>VHFUNC-NA1680D-EH</t>
  </si>
  <si>
    <t>HOSE, VENTILATION, NO.1 12261-BZ220</t>
  </si>
  <si>
    <t>VHFUNC-NA1270D-EH</t>
  </si>
  <si>
    <t>HOSE FUEL VAPOR FEED NO.2 23827-BZ010</t>
  </si>
  <si>
    <t>VHFUNC-PM1041R-EH</t>
  </si>
  <si>
    <t>Hose Fuel; D. Pipe to F/Filter 9823-9426</t>
  </si>
  <si>
    <t>VHFUNC-TA0640D-EH</t>
  </si>
  <si>
    <t>TUBE S/A FUEL EMISSION NO.2 77028-0D160</t>
  </si>
  <si>
    <t>VHFUNC-PM105AR-EH</t>
  </si>
  <si>
    <t>HOSE FUEL D.F/FLTR TO PIPE 89831-03491</t>
  </si>
  <si>
    <t>VHFUNC-NA1630D-EH</t>
  </si>
  <si>
    <t>HOSE FUEL VAPOR FEED NO.2 23827-BZ080</t>
  </si>
  <si>
    <t>VHFUNC-NS0020S-EH</t>
  </si>
  <si>
    <t>HOSE ASSY DRAIN 92590-1JZ2A</t>
  </si>
  <si>
    <t>VHFUNC-NA1661D-EH</t>
  </si>
  <si>
    <t>HOSE CHARCOAL CAN OUTLET 77754-BZ240</t>
  </si>
  <si>
    <t>VHFUNC-NA1802D-EH</t>
  </si>
  <si>
    <t>HOSE SUB-ASSY CANISTER 77754-BZ330-H</t>
  </si>
  <si>
    <t>VHFUNC-HN0220R-EH</t>
  </si>
  <si>
    <t>HOSE FUEL NO.2 77279-0W020</t>
  </si>
  <si>
    <t>VHFUNC-HN0230R-EH</t>
  </si>
  <si>
    <t>HOSE FUEL NO.2 77279-0W030</t>
  </si>
  <si>
    <t>VHFUNC-HN0290D-EH</t>
  </si>
  <si>
    <t>HOSE VACUUM S4477-1240000</t>
  </si>
  <si>
    <t>VHFUNC-PM1042R-EH</t>
  </si>
  <si>
    <t>Hose Fuel; R. Filter to Pipe 9823-9427</t>
  </si>
  <si>
    <t>VHFUNC-HN0180R-EH</t>
  </si>
  <si>
    <t>HOSE FUEL NO.1 77259-0W030</t>
  </si>
  <si>
    <t>VHFUNC-VL00900-EH</t>
  </si>
  <si>
    <t>SEAL AUTOCLAVE TANGO</t>
  </si>
  <si>
    <t>VHFUNC-NA1360D-EH</t>
  </si>
  <si>
    <t>HOSE CHARCOAL CAN OUTLET 77754-BZ090</t>
  </si>
  <si>
    <t>VHFUNC-NA1370D-EH</t>
  </si>
  <si>
    <t>HOSE CHARCOAL CAN OUTLET 77795-BZ100</t>
  </si>
  <si>
    <t>VHFUNC-HN0200R-EH</t>
  </si>
  <si>
    <t>HOSE FUEL NO.1 77259-0W050</t>
  </si>
  <si>
    <t>VHFUNC-HN0190R-EH</t>
  </si>
  <si>
    <t>HOSE FUEL NO.1 77259-0W040</t>
  </si>
  <si>
    <t>VHFUNC-HN0210R-EH</t>
  </si>
  <si>
    <t>HOSE FUEL NO.1 77259-0W060</t>
  </si>
  <si>
    <t>VHFUNC-HN0270D-EH</t>
  </si>
  <si>
    <t>HOSE VACUUM S4477-1227000</t>
  </si>
  <si>
    <t>VHFUNC-TA0580D-EH</t>
  </si>
  <si>
    <t>HOSE FUEL TANK BREATHER 77269-0D100</t>
  </si>
  <si>
    <t>VHFUNC-NA1690D-EH</t>
  </si>
  <si>
    <t>HOSE, FUEL VAPOR FEED, NO.2 23827-BZ060</t>
  </si>
  <si>
    <t>VHFUNC-TA1410R-EH</t>
  </si>
  <si>
    <t>HOSE, UNION TO CONNECTOR TUBE</t>
  </si>
  <si>
    <t>VHFUNC-TA1470R-EH</t>
  </si>
  <si>
    <t>HOSE RADIATOR NO.2 16572-0L110</t>
  </si>
  <si>
    <t>VHFUNC-TA1520R-EH</t>
  </si>
  <si>
    <t>HOSE FUEL VAPOR FEED NO.2 23827-0C050</t>
  </si>
  <si>
    <t>VHFUNC-TA1630R-EH</t>
  </si>
  <si>
    <t>HOSE UNION TO CONN TUBE 44774-0K020</t>
  </si>
  <si>
    <t>VHFUNC-NA1430R-EH</t>
  </si>
  <si>
    <t>HOSE RADIATOR NO.1 16571-BZ280</t>
  </si>
  <si>
    <t>VHFUNC-NA1480R-EH</t>
  </si>
  <si>
    <t>HOSE RADIATOR NO.1 16571-BZ270</t>
  </si>
  <si>
    <t>VHFUNC-NA1610S-EH</t>
  </si>
  <si>
    <t>HOSE FUEL TANK TO FILLER P 77213-BZ160</t>
  </si>
  <si>
    <t>VHFUNC-NA1420R-EH</t>
  </si>
  <si>
    <t>HOSE RADIATOR NO.2 16572-BZ210</t>
  </si>
  <si>
    <t>VHFUNC-NA1470R-EH</t>
  </si>
  <si>
    <t>HOSE WATER 87245-BZ190</t>
  </si>
  <si>
    <t>VHFUNC-NA1600D-EH</t>
  </si>
  <si>
    <t>HOSE VENTILATION NO.1 12261-BZ180</t>
  </si>
  <si>
    <t>VHFUNC-TA1680R-EH</t>
  </si>
  <si>
    <t>HOSE, WATER BY-PASS, NO.2 16264-0Y080</t>
  </si>
  <si>
    <t>VHFUNC-TA1480R-EH</t>
  </si>
  <si>
    <t>HOSE AIR NO.1 17341-OC100</t>
  </si>
  <si>
    <t>VHFUNC-TA1400D-EH</t>
  </si>
  <si>
    <t>HOSE, FUEL VAPOR FEED 23829-0L010</t>
  </si>
  <si>
    <t>VHFUNC-TA1120R-EH</t>
  </si>
  <si>
    <t>BREATHER SUB-ASSY, TRANS 33019-0K110</t>
  </si>
  <si>
    <t>VHFUNC-TA1640R-EH</t>
  </si>
  <si>
    <t>HOSE, UNION TO CONN TUBE 44774-KK010</t>
  </si>
  <si>
    <t>VHFUNC-NA1440R-EH</t>
  </si>
  <si>
    <t>HOSE RADIATOR NO.1 16571-BZ290</t>
  </si>
  <si>
    <t>VHFUNC-NA1450R-EH</t>
  </si>
  <si>
    <t>HOSE RADIATOR NO.2 16572-BZ220</t>
  </si>
  <si>
    <t>VHFUNC-NA1410D-EH</t>
  </si>
  <si>
    <t>HOSE VENTILATION NO.1 12261-BZ160</t>
  </si>
  <si>
    <t>VHFUNC-NA1560D-EH</t>
  </si>
  <si>
    <t>HOSE FUEL PAVOR FEED NO.2 23827-BZ020</t>
  </si>
  <si>
    <t>VHFUNC-NA1570D-EH</t>
  </si>
  <si>
    <t>HOSE VENTILATION NO.2 12262-BZ080</t>
  </si>
  <si>
    <t>VHFUNC-TA1330R-EH</t>
  </si>
  <si>
    <t>HOSE, WATER BY-PASS, NO.1 16261-0L091</t>
  </si>
  <si>
    <t>VHFUNC-TA1350R-EH</t>
  </si>
  <si>
    <t>HOSE, RADIATOR, NO.2 16572-0P300</t>
  </si>
  <si>
    <t>VHFUNC-TA1210R-EH</t>
  </si>
  <si>
    <t>HOSE, AIR, NO.1 17341-0C0110</t>
  </si>
  <si>
    <t>VHFUNC-TA1220D-EH</t>
  </si>
  <si>
    <t>HOSE, AIR, NO.3 17343-0C070</t>
  </si>
  <si>
    <t>VHFUNC-TA1090R-EH</t>
  </si>
  <si>
    <t>HOSE, FUEL, NO.1 23271-0L140</t>
  </si>
  <si>
    <t>VHFUNC-TA1080D-EH</t>
  </si>
  <si>
    <t>BREATHER SUB-ASSY, TRANS 33019-0K010</t>
  </si>
  <si>
    <t>VHFUNC-TA0813R-EH</t>
  </si>
  <si>
    <t>HOSE CHECK VALVE T CONN T 44771-KK030</t>
  </si>
  <si>
    <t>VHFUNC-TA0802R-EH</t>
  </si>
  <si>
    <t>HOSE VACUUM TUBE TO CONN 44771-KK060</t>
  </si>
  <si>
    <t>VHFUNC-TA1250R-EH</t>
  </si>
  <si>
    <t>HOSE, CHECK VALVE TO CONN T 44772-KK010</t>
  </si>
  <si>
    <t>VHFUNC-TA1150R-EH</t>
  </si>
  <si>
    <t>HOSE, CHECK VALVE TO CONN T 44772-KK090</t>
  </si>
  <si>
    <t>VHFUNC-TA1130R-EH</t>
  </si>
  <si>
    <t>HOSE, UNION TO CONN TUBE 44774-KK050</t>
  </si>
  <si>
    <t>VHFUNC-TA1170R-EH</t>
  </si>
  <si>
    <t>HOSE, UNION TO CONN TUBE 44774-KK090</t>
  </si>
  <si>
    <t>VHFUNC-TA1660R-EH</t>
  </si>
  <si>
    <t>HOSE, VENTILATION, NO.1 12261-0Y040</t>
  </si>
  <si>
    <t>VHFUNC-TA1420R-EH</t>
  </si>
  <si>
    <t>HOSE RADIATOR NO.1 16571-0C140</t>
  </si>
  <si>
    <t>VHFUNC-TA1450R-EH</t>
  </si>
  <si>
    <t>HOSE RADIATOR NO.2 16572-0C140</t>
  </si>
  <si>
    <t>VHFUNC-TA1500R-EH</t>
  </si>
  <si>
    <t>HOSE, FUEL, NO.2 23273-0L120</t>
  </si>
  <si>
    <t>VHFUNC-TA1610R-EH</t>
  </si>
  <si>
    <t>HOSE, CHECK VALVE TO BRAKE B 44772-KK120</t>
  </si>
  <si>
    <t>VHFUNC-TA1230D-EH</t>
  </si>
  <si>
    <t>HOSE, FUEL EMISSION 77249-KK010</t>
  </si>
  <si>
    <t>VHFUNC-TA1340R-EH</t>
  </si>
  <si>
    <t>HOSE, RADIATOR, NO.1 16571-0P300</t>
  </si>
  <si>
    <t>VHFUNC-TA1360R-EH</t>
  </si>
  <si>
    <t>HOSE, AIR, NO.1 17341-0C090</t>
  </si>
  <si>
    <t>VHFUNC-TA1140R-EH</t>
  </si>
  <si>
    <t>HOSE, AIR, NO.2 17342-0C070</t>
  </si>
  <si>
    <t>VHFUNC-TA1380R-EH</t>
  </si>
  <si>
    <t>HOSE, FUEL, NO.1 23271-0L120</t>
  </si>
  <si>
    <t>VHFUNC-TA0811R-EH</t>
  </si>
  <si>
    <t>HOSE, AIR NO.2 17342-0C120</t>
  </si>
  <si>
    <t>VHFUNC-TA0812R-EH</t>
  </si>
  <si>
    <t>HOSE CHECK VALVE T CONN T 44771-KK020</t>
  </si>
  <si>
    <t>VHFUNC-TA0801R-EH</t>
  </si>
  <si>
    <t>HOSE VACUUM TUBE TO CONN 44771-KK050</t>
  </si>
  <si>
    <t>VHFUNC-TA0804R-EH</t>
  </si>
  <si>
    <t>HOSE AIR NO 2 17342-0C110</t>
  </si>
  <si>
    <t>VHFUNC-TA1240R-EH</t>
  </si>
  <si>
    <t>HOSE, CHECK VALVE TO CONN T 44772-KK070</t>
  </si>
  <si>
    <t>VHFUNC-TA1190R-EH</t>
  </si>
  <si>
    <t>HOSE, CHECK VALVE TO CONN T 44772-KK130</t>
  </si>
  <si>
    <t>VHFUNC-TA1110R-EH</t>
  </si>
  <si>
    <t>VHFUNC-NA1460R-EH</t>
  </si>
  <si>
    <t>HOSE WATER NO.2 87246-BZ130</t>
  </si>
  <si>
    <t>VHFUNC-NA1580S-EH</t>
  </si>
  <si>
    <t>HOSE FUEL TANK TO FILLER P 77213-BZ170</t>
  </si>
  <si>
    <t>VHFUNC-TA1060D-EH</t>
  </si>
  <si>
    <t>HOSE, AIR, NO.1 17341-0C070</t>
  </si>
  <si>
    <t>VHFUNC-TA1180D-EH</t>
  </si>
  <si>
    <t>HOSE, AIR, NO.4 17344-0C070</t>
  </si>
  <si>
    <t>VHFUNC-TA1200D-EH</t>
  </si>
  <si>
    <t>BREATHER SUB-ASSY, TRANS 33019-0K120</t>
  </si>
  <si>
    <t>VHFUNC-TA0803R-EH</t>
  </si>
  <si>
    <t>HOSE CHECK VALVE T CONN TUBE 44772-KK100</t>
  </si>
  <si>
    <t>VHFUNC-TA1070R-EH</t>
  </si>
  <si>
    <t>HOSE, CHECK VALVE TO CONN T 44772-KK110</t>
  </si>
  <si>
    <t>VHFUNC-TA1670R-EH</t>
  </si>
  <si>
    <t>HOSE WATER BY PASS NO 1 16261-OY030</t>
  </si>
  <si>
    <t>VHFUNC-TA1690R-EH</t>
  </si>
  <si>
    <t>HOSE, WATER BY-PASS, NO.3 16267-0Y030</t>
  </si>
  <si>
    <t>VHFUNC-TA1430R-EH</t>
  </si>
  <si>
    <t>HOSE RADIATOR NO. 1 16571-0L100</t>
  </si>
  <si>
    <t>VHFUNC-TA1440R-EH</t>
  </si>
  <si>
    <t>HOSE RADIATOR NO.1 16571-0L110</t>
  </si>
  <si>
    <t>VHFUNC-TA1460R-EH</t>
  </si>
  <si>
    <t>HOSE RADIATOR NO.2 16572-OL100</t>
  </si>
  <si>
    <t>VHFUNC-TA1490R-EH</t>
  </si>
  <si>
    <t>HOSE, FUEL, NO.2 23273-0C170</t>
  </si>
  <si>
    <t>VHFUNC-TA1510R-EH</t>
  </si>
  <si>
    <t>DON'T USE</t>
  </si>
  <si>
    <t>VHFUNC-TA1700R-EH</t>
  </si>
  <si>
    <t>HOSE, FUEL, NO.2 23273-0L200</t>
  </si>
  <si>
    <t>VHFUNC-TA1530R-EH</t>
  </si>
  <si>
    <t>HOSE, FUEL VAPOR FEED 23829-0P190</t>
  </si>
  <si>
    <t>VHFUNC-TA1760R-EH</t>
  </si>
  <si>
    <t>BREATHER SUB-ASSY, TRANS 33019-0K180</t>
  </si>
  <si>
    <t>VHFUNC-TA1590R-EH</t>
  </si>
  <si>
    <t>HOSE, VACUUM TUBE CONNECTOR 44771-KK010</t>
  </si>
  <si>
    <t>VHFUNC-TA1600R-EH</t>
  </si>
  <si>
    <t>HOSE, CHECK VALVE TO CONN T 44772-KK080</t>
  </si>
  <si>
    <t>VHFUNC-TA1620R-EH</t>
  </si>
  <si>
    <t>HOSE UNION TO CHECK VALVE 44773-KK020</t>
  </si>
  <si>
    <t>VHFUNC-TA1650R-EH</t>
  </si>
  <si>
    <t>HOSE BRAKE BOOSTER 44776-KK020</t>
  </si>
  <si>
    <t>VHFUNC-TA1750R-EH</t>
  </si>
  <si>
    <t>HOSE, FUEL EMISSION 77249-KK020</t>
  </si>
  <si>
    <t>2</t>
  </si>
  <si>
    <t>3</t>
  </si>
  <si>
    <t>VHFUNC-TA2980R-EH</t>
  </si>
  <si>
    <t>HOSE MOTOR COOLING NO 2 G1272-907WL</t>
  </si>
  <si>
    <t>VHFUNC-NA3220S-EH</t>
  </si>
  <si>
    <t>HOSE CLUTCH RESERVOIR 31434-B0041</t>
  </si>
  <si>
    <t>VHFUNC-NA3230S-EH</t>
  </si>
  <si>
    <t>HOSE CLUTCH RESERVOIR 31434-B0080</t>
  </si>
  <si>
    <t>VHFUNC-NA3240S-EH</t>
  </si>
  <si>
    <t>HOSE CLUTCH RESERVOIR 31434-B1070</t>
  </si>
  <si>
    <t>VHFUNC-NA3250S-EH</t>
  </si>
  <si>
    <t>HOSE CLUTCH RESERVOIR 31434-B1090</t>
  </si>
  <si>
    <t>VHFUNC-NA3260S-EH</t>
  </si>
  <si>
    <t>HOSE CLUTCH RESERVOIR 31434-B5030-H</t>
  </si>
  <si>
    <t>VHFUNC-NA3270D-EH</t>
  </si>
  <si>
    <t>HOSE ASSY VACUUM 44750-B5470</t>
  </si>
  <si>
    <t>VHFUNC-NA3311D-EH</t>
  </si>
  <si>
    <t>HOSE ACTUATOR 17294-B1050</t>
  </si>
  <si>
    <t>VHFUNC-NA3280R-EH</t>
  </si>
  <si>
    <t>HOSE WATER NO 2 87246-BZ300-K</t>
  </si>
  <si>
    <t>VHFUNC-TA3030D-EH</t>
  </si>
  <si>
    <t>HOSE VENTILATION NO 1 12261-BZ320-H</t>
  </si>
  <si>
    <t>VHFUNC-NA3312D-EH</t>
  </si>
  <si>
    <t>HOSE ACTUATOR 17294-B1070</t>
  </si>
  <si>
    <t>VHFUNC-TA3040D-EH</t>
  </si>
  <si>
    <t>HOSE VENTILATION NO 2 12262-BZ230-H</t>
  </si>
  <si>
    <t>VHFUNC-TA3060R-EH</t>
  </si>
  <si>
    <t>HOSE, RADIATOR, NO. 1 16571-BZ560-H</t>
  </si>
  <si>
    <t>VHFUNC-TA3050R-EH</t>
  </si>
  <si>
    <t>HOSE, RADIATOR, NO. 2 16572-BZ490</t>
  </si>
  <si>
    <t>VHFUNC-NA3301R-EH</t>
  </si>
  <si>
    <t>HOSE SUB-ASSY WATER 87245-BZ360</t>
  </si>
  <si>
    <t>VHFUNC-NA3291R-EH</t>
  </si>
  <si>
    <t>HOSE SUB-ASSY WATER 87246-BZ450</t>
  </si>
  <si>
    <t>VHFUNC-NA3292R-EH</t>
  </si>
  <si>
    <t>HOSE SUB-ASSY WATER 87246-BZ460</t>
  </si>
  <si>
    <t>VHFUNC-HY0050M-EH</t>
  </si>
  <si>
    <t>HOSE SUNROOF DRAIN 816A1-BV000</t>
  </si>
  <si>
    <t>PVC COMPOUND</t>
  </si>
  <si>
    <t>VHFUNC-NA3330R-EH</t>
  </si>
  <si>
    <t>HOSE ASSY WATER BY-PASS NO.2 16280-BZ080</t>
  </si>
  <si>
    <t>VHFUNC-NA3320R-EH</t>
  </si>
  <si>
    <t>HOSE WATER BY-PASS NO.2 16264-BZ400-H</t>
  </si>
  <si>
    <t>VHFUNC-PM1440R-EH</t>
  </si>
  <si>
    <t>HOSE FUEL STRAIGHT TYPE 7474940060</t>
  </si>
  <si>
    <t>VHFUNC-PM1450R-EH</t>
  </si>
  <si>
    <t>HOSE FUEL STRAIGHT DIFF DIA P566002380</t>
  </si>
  <si>
    <t>VHFUNC-NA3340R-EH</t>
  </si>
  <si>
    <t>HOSE VENTILATION NO.3 12263-BZ010</t>
  </si>
  <si>
    <t>ARAMID KEVLAR 1670T/1</t>
  </si>
  <si>
    <t>VHFUNC-PM1460S-EH</t>
  </si>
  <si>
    <t>HOSE DRAIN STRAIGHT 8982048461</t>
  </si>
  <si>
    <t>VHFUNC-PM1490R-EH</t>
  </si>
  <si>
    <t>HOSE FUEL FEED, C P566003050</t>
  </si>
  <si>
    <t>VHFUNC-PM1480R-EH</t>
  </si>
  <si>
    <t>HOSE FUEL FEED STRAIGHT 0018097300</t>
  </si>
  <si>
    <t>VHFUNC-PM1470R-EH</t>
  </si>
  <si>
    <t>HOSE FUEL FEED, B P566003040</t>
  </si>
  <si>
    <t>VHFUNC-HY0070M-EH</t>
  </si>
  <si>
    <t>HOSE SUNROOF DRAIN 816A1-BW000</t>
  </si>
  <si>
    <t>VHFUNC-TA3070D-EH</t>
  </si>
  <si>
    <t>HOSE, AIR, NO.4 17344-0P010-A</t>
  </si>
  <si>
    <t>VHFUNC-TA0340R-EH</t>
  </si>
  <si>
    <t>HOSE CHECK VAL TO CON. TUBE 44772-0K010A</t>
  </si>
  <si>
    <t>VHFUNC-NA3370R-EH</t>
  </si>
  <si>
    <t>HOSE WATER NO.2 87246-BZ490</t>
  </si>
  <si>
    <t>VHFUNC-PM1500R-EH</t>
  </si>
  <si>
    <t>HOSE FUEL STRAIGHT 0018122800</t>
  </si>
  <si>
    <t>Part No VIN</t>
  </si>
  <si>
    <t>Extrude</t>
  </si>
  <si>
    <t>Finishing</t>
  </si>
  <si>
    <t>ID (mm)</t>
  </si>
  <si>
    <t>OD (mm)</t>
  </si>
  <si>
    <t>Length Cutting (mm)</t>
  </si>
  <si>
    <t>ID GH (mm)</t>
  </si>
  <si>
    <t>Thick GH (mm)</t>
  </si>
  <si>
    <t>OD GH (mm)</t>
  </si>
  <si>
    <t>MS0120</t>
  </si>
  <si>
    <t>MS0100</t>
  </si>
  <si>
    <t>MS0110</t>
  </si>
  <si>
    <t>TA1741</t>
  </si>
  <si>
    <t>TA1553</t>
  </si>
  <si>
    <t>TA1581</t>
  </si>
  <si>
    <t>TA1582</t>
  </si>
  <si>
    <t>TA1840</t>
  </si>
  <si>
    <t>TA1800</t>
  </si>
  <si>
    <t>TA1810</t>
  </si>
  <si>
    <t>TA1551</t>
  </si>
  <si>
    <t>TA1541</t>
  </si>
  <si>
    <t>TA1562</t>
  </si>
  <si>
    <t>TA1160</t>
  </si>
  <si>
    <t>TA1970</t>
  </si>
  <si>
    <t>TA1733</t>
  </si>
  <si>
    <t>TA1942</t>
  </si>
  <si>
    <t>TA1941</t>
  </si>
  <si>
    <t>TA1950</t>
  </si>
  <si>
    <t>TA1820</t>
  </si>
  <si>
    <t>TA1771</t>
  </si>
  <si>
    <t>TA1731</t>
  </si>
  <si>
    <t>TA1572</t>
  </si>
  <si>
    <t>TA1050</t>
  </si>
  <si>
    <t>TA1040</t>
  </si>
  <si>
    <t>TA1554</t>
  </si>
  <si>
    <t>TA1552</t>
  </si>
  <si>
    <t>TA1372</t>
  </si>
  <si>
    <t>TA1732</t>
  </si>
  <si>
    <t>TA2010</t>
  </si>
  <si>
    <t>TA1980</t>
  </si>
  <si>
    <t>TA1571</t>
  </si>
  <si>
    <t>TA1890</t>
  </si>
  <si>
    <t>TA1780</t>
  </si>
  <si>
    <t>TA1860</t>
  </si>
  <si>
    <t>TA1542</t>
  </si>
  <si>
    <t>TA1742</t>
  </si>
  <si>
    <t>TA1561</t>
  </si>
  <si>
    <t>TA1563</t>
  </si>
  <si>
    <t>TA1564</t>
  </si>
  <si>
    <t>TA1830</t>
  </si>
  <si>
    <t>TA1371</t>
  </si>
  <si>
    <t>TA1772</t>
  </si>
  <si>
    <t>TA1773</t>
  </si>
  <si>
    <t>TA1774</t>
  </si>
  <si>
    <t>TA2003</t>
  </si>
  <si>
    <t>HN0490</t>
  </si>
  <si>
    <t>TA2030</t>
  </si>
  <si>
    <t>TA2001</t>
  </si>
  <si>
    <t>TA2002</t>
  </si>
  <si>
    <t>TA2040</t>
  </si>
  <si>
    <t>TA136A</t>
  </si>
  <si>
    <t>TA148A</t>
  </si>
  <si>
    <t>TA2020</t>
  </si>
  <si>
    <t>TA2005</t>
  </si>
  <si>
    <t>NA1821</t>
  </si>
  <si>
    <t>NA1822</t>
  </si>
  <si>
    <t>TA2004</t>
  </si>
  <si>
    <t>TA2541</t>
  </si>
  <si>
    <t>TA2542</t>
  </si>
  <si>
    <t>TA2551</t>
  </si>
  <si>
    <t>TA0390</t>
  </si>
  <si>
    <t>TA121A</t>
  </si>
  <si>
    <t>TA2552</t>
  </si>
  <si>
    <t>PM1290</t>
  </si>
  <si>
    <t>PM1300</t>
  </si>
  <si>
    <t>PM1250</t>
  </si>
  <si>
    <t>HN0300</t>
  </si>
  <si>
    <t>MS0240</t>
  </si>
  <si>
    <t>NA2820</t>
  </si>
  <si>
    <t>PM1120</t>
  </si>
  <si>
    <t>NA2032</t>
  </si>
  <si>
    <t>NA3150</t>
  </si>
  <si>
    <t>TA3000</t>
  </si>
  <si>
    <t>TA2634</t>
  </si>
  <si>
    <t>PM1360</t>
  </si>
  <si>
    <t>PM1150</t>
  </si>
  <si>
    <t>NA3110</t>
  </si>
  <si>
    <t>NA2033</t>
  </si>
  <si>
    <t>TA3020</t>
  </si>
  <si>
    <t>TA2990</t>
  </si>
  <si>
    <t>PM1140</t>
  </si>
  <si>
    <t>PM1130</t>
  </si>
  <si>
    <t>PM1420</t>
  </si>
  <si>
    <t>HN0530</t>
  </si>
  <si>
    <t>TA2660</t>
  </si>
  <si>
    <t>PM1430</t>
  </si>
  <si>
    <t>PM1170</t>
  </si>
  <si>
    <t>NA2050</t>
  </si>
  <si>
    <t>NA2060</t>
  </si>
  <si>
    <t>PM1200</t>
  </si>
  <si>
    <t>TA2700</t>
  </si>
  <si>
    <t>TA2650</t>
  </si>
  <si>
    <t>TA2670</t>
  </si>
  <si>
    <t>PM1260</t>
  </si>
  <si>
    <t>NA2040</t>
  </si>
  <si>
    <t>NA2810</t>
  </si>
  <si>
    <t>HN0550</t>
  </si>
  <si>
    <t>HN0540</t>
  </si>
  <si>
    <t>HN0590</t>
  </si>
  <si>
    <t>TA2640</t>
  </si>
  <si>
    <t>PM1350</t>
  </si>
  <si>
    <t>PM1220</t>
  </si>
  <si>
    <t>NA2740</t>
  </si>
  <si>
    <t>PM1090</t>
  </si>
  <si>
    <t>PM1100</t>
  </si>
  <si>
    <t>NA1890</t>
  </si>
  <si>
    <t>HN0560</t>
  </si>
  <si>
    <t>TA2631</t>
  </si>
  <si>
    <t>NA2990</t>
  </si>
  <si>
    <t>NA1860</t>
  </si>
  <si>
    <t>PM1110</t>
  </si>
  <si>
    <t>NA1840</t>
  </si>
  <si>
    <t>NA1850</t>
  </si>
  <si>
    <t>PM1160</t>
  </si>
  <si>
    <t>PM1060</t>
  </si>
  <si>
    <t>PM1210</t>
  </si>
  <si>
    <t>TA2722</t>
  </si>
  <si>
    <t>NA1910</t>
  </si>
  <si>
    <t>FM1450</t>
  </si>
  <si>
    <t>PM1320</t>
  </si>
  <si>
    <t>NA2800</t>
  </si>
  <si>
    <t>TA2632</t>
  </si>
  <si>
    <t>TA2633</t>
  </si>
  <si>
    <t>TA2730</t>
  </si>
  <si>
    <t>TA2690</t>
  </si>
  <si>
    <t>TA2712</t>
  </si>
  <si>
    <t>TA2711</t>
  </si>
  <si>
    <t>PM1310</t>
  </si>
  <si>
    <t>PM1330</t>
  </si>
  <si>
    <t>HN0580</t>
  </si>
  <si>
    <t>PM1370</t>
  </si>
  <si>
    <t>TA2580</t>
  </si>
  <si>
    <t>NA3070</t>
  </si>
  <si>
    <t>NA1900</t>
  </si>
  <si>
    <t>NA1920</t>
  </si>
  <si>
    <t>NA3080</t>
  </si>
  <si>
    <t>NA3090</t>
  </si>
  <si>
    <t>TA3010</t>
  </si>
  <si>
    <t>PM1280</t>
  </si>
  <si>
    <t>NA1870</t>
  </si>
  <si>
    <t>NA1880</t>
  </si>
  <si>
    <t>PM1230</t>
  </si>
  <si>
    <t>NA2031</t>
  </si>
  <si>
    <t>PM1410</t>
  </si>
  <si>
    <t>NA2780</t>
  </si>
  <si>
    <t>NA2750</t>
  </si>
  <si>
    <t>PM1240</t>
  </si>
  <si>
    <t>NA3120</t>
  </si>
  <si>
    <t>TA2721</t>
  </si>
  <si>
    <t>TA2970</t>
  </si>
  <si>
    <t>PM1190</t>
  </si>
  <si>
    <t>PM1270</t>
  </si>
  <si>
    <t>NA2770</t>
  </si>
  <si>
    <t>MS0230</t>
  </si>
  <si>
    <t>TA2680</t>
  </si>
  <si>
    <t>PM1180</t>
  </si>
  <si>
    <t>PM1070</t>
  </si>
  <si>
    <t>PM1080</t>
  </si>
  <si>
    <t>NA1830</t>
  </si>
  <si>
    <t>NA2250</t>
  </si>
  <si>
    <t>NA2950</t>
  </si>
  <si>
    <t>NA2090</t>
  </si>
  <si>
    <t>NA2920</t>
  </si>
  <si>
    <t>NA2960</t>
  </si>
  <si>
    <t>NA2140</t>
  </si>
  <si>
    <t>NA2120</t>
  </si>
  <si>
    <t>NA2110</t>
  </si>
  <si>
    <t>NA2330</t>
  </si>
  <si>
    <t>NA2930</t>
  </si>
  <si>
    <t>NA2200</t>
  </si>
  <si>
    <t>NA2320</t>
  </si>
  <si>
    <t>NA2230</t>
  </si>
  <si>
    <t>NA2970</t>
  </si>
  <si>
    <t>NA2830</t>
  </si>
  <si>
    <t>NA2720</t>
  </si>
  <si>
    <t>NA2150</t>
  </si>
  <si>
    <t>NA2180</t>
  </si>
  <si>
    <t>NA2700</t>
  </si>
  <si>
    <t>NA2662</t>
  </si>
  <si>
    <t>NA2980</t>
  </si>
  <si>
    <t>NA2410</t>
  </si>
  <si>
    <t>NA2910</t>
  </si>
  <si>
    <t>NA2630</t>
  </si>
  <si>
    <t>NA2240</t>
  </si>
  <si>
    <t>NA2210</t>
  </si>
  <si>
    <t>NA2100</t>
  </si>
  <si>
    <t>NA2190</t>
  </si>
  <si>
    <t>NA2680</t>
  </si>
  <si>
    <t>NA2661</t>
  </si>
  <si>
    <t>NA2900</t>
  </si>
  <si>
    <t>TA199A</t>
  </si>
  <si>
    <t>TA2510</t>
  </si>
  <si>
    <t>TA2522</t>
  </si>
  <si>
    <t>TA2531</t>
  </si>
  <si>
    <t>TA1700</t>
  </si>
  <si>
    <t>TA2500</t>
  </si>
  <si>
    <t>TA2120</t>
  </si>
  <si>
    <t>TA198A</t>
  </si>
  <si>
    <t>TA1710</t>
  </si>
  <si>
    <t>TA2521</t>
  </si>
  <si>
    <t>TA2532</t>
  </si>
  <si>
    <t>TA0590</t>
  </si>
  <si>
    <t>NA1671</t>
  </si>
  <si>
    <t>HN0400</t>
  </si>
  <si>
    <t>NA1650</t>
  </si>
  <si>
    <t>NA1640</t>
  </si>
  <si>
    <t>TA0570</t>
  </si>
  <si>
    <t>TA0630</t>
  </si>
  <si>
    <t>HN0160</t>
  </si>
  <si>
    <t>NA1662</t>
  </si>
  <si>
    <t>NA1672</t>
  </si>
  <si>
    <t>HN0140</t>
  </si>
  <si>
    <t>HN0170</t>
  </si>
  <si>
    <t>HN0250</t>
  </si>
  <si>
    <t>HN0280</t>
  </si>
  <si>
    <t>NA1801</t>
  </si>
  <si>
    <t>HN0150</t>
  </si>
  <si>
    <t>HN0240</t>
  </si>
  <si>
    <t>NA1280</t>
  </si>
  <si>
    <t>NA1680</t>
  </si>
  <si>
    <t>NA1270</t>
  </si>
  <si>
    <t>PM1041</t>
  </si>
  <si>
    <t>TA0640</t>
  </si>
  <si>
    <t>PM105A</t>
  </si>
  <si>
    <t>NA1630</t>
  </si>
  <si>
    <t>NA1661</t>
  </si>
  <si>
    <t>NA1802</t>
  </si>
  <si>
    <t>HN0220</t>
  </si>
  <si>
    <t>HN0230</t>
  </si>
  <si>
    <t>HN0290</t>
  </si>
  <si>
    <t>PM1042</t>
  </si>
  <si>
    <t>HN0180</t>
  </si>
  <si>
    <t>NA1360</t>
  </si>
  <si>
    <t>NA1370</t>
  </si>
  <si>
    <t>HN0200</t>
  </si>
  <si>
    <t>HN0190</t>
  </si>
  <si>
    <t>HN0210</t>
  </si>
  <si>
    <t>HN0270</t>
  </si>
  <si>
    <t>TA0580</t>
  </si>
  <si>
    <t>NA1690</t>
  </si>
  <si>
    <t>TA1410</t>
  </si>
  <si>
    <t>TA1470</t>
  </si>
  <si>
    <t>TA1520</t>
  </si>
  <si>
    <t>TA1630</t>
  </si>
  <si>
    <t>NA1430</t>
  </si>
  <si>
    <t>NA1480</t>
  </si>
  <si>
    <t>NA1610</t>
  </si>
  <si>
    <t>NA1420</t>
  </si>
  <si>
    <t>NA1470</t>
  </si>
  <si>
    <t>NA1600</t>
  </si>
  <si>
    <t>TA1680</t>
  </si>
  <si>
    <t>TA1400</t>
  </si>
  <si>
    <t>TA1120</t>
  </si>
  <si>
    <t>TA1640</t>
  </si>
  <si>
    <t>NA1440</t>
  </si>
  <si>
    <t>NA1450</t>
  </si>
  <si>
    <t>NA1410</t>
  </si>
  <si>
    <t>NA1560</t>
  </si>
  <si>
    <t>NA1570</t>
  </si>
  <si>
    <t>TA1330</t>
  </si>
  <si>
    <t>TA1350</t>
  </si>
  <si>
    <t>TA1220</t>
  </si>
  <si>
    <t>TA1090</t>
  </si>
  <si>
    <t>TA1080</t>
  </si>
  <si>
    <t>TA0813</t>
  </si>
  <si>
    <t>TA0802</t>
  </si>
  <si>
    <t>TA1250</t>
  </si>
  <si>
    <t>TA1150</t>
  </si>
  <si>
    <t>TA1130</t>
  </si>
  <si>
    <t>TA1170</t>
  </si>
  <si>
    <t>TA1420</t>
  </si>
  <si>
    <t>TA1450</t>
  </si>
  <si>
    <t>TA1610</t>
  </si>
  <si>
    <t>TA1230</t>
  </si>
  <si>
    <t>TA1340</t>
  </si>
  <si>
    <t>TA1140</t>
  </si>
  <si>
    <t>TA1380</t>
  </si>
  <si>
    <t>TA0811</t>
  </si>
  <si>
    <t>TA0812</t>
  </si>
  <si>
    <t>TA0801</t>
  </si>
  <si>
    <t>TA0804</t>
  </si>
  <si>
    <t>TA1240</t>
  </si>
  <si>
    <t>TA1190</t>
  </si>
  <si>
    <t>NA1460</t>
  </si>
  <si>
    <t>NA1580</t>
  </si>
  <si>
    <t>TA1060</t>
  </si>
  <si>
    <t>TA1180</t>
  </si>
  <si>
    <t>TA1200</t>
  </si>
  <si>
    <t>TA0803</t>
  </si>
  <si>
    <t>TA1070</t>
  </si>
  <si>
    <t>TA1670</t>
  </si>
  <si>
    <t>TA1690</t>
  </si>
  <si>
    <t>TA1430</t>
  </si>
  <si>
    <t>TA1440</t>
  </si>
  <si>
    <t>TA1460</t>
  </si>
  <si>
    <t>TA1530</t>
  </si>
  <si>
    <t>TA1760</t>
  </si>
  <si>
    <t>TA1600</t>
  </si>
  <si>
    <t>TA1620</t>
  </si>
  <si>
    <t>TA1650</t>
  </si>
  <si>
    <t>TA1750</t>
  </si>
  <si>
    <t>TA2980</t>
  </si>
  <si>
    <t>NA3220</t>
  </si>
  <si>
    <t>NA3230</t>
  </si>
  <si>
    <t>NA3240</t>
  </si>
  <si>
    <t>NA3250</t>
  </si>
  <si>
    <t>NA3260</t>
  </si>
  <si>
    <t>NA3270</t>
  </si>
  <si>
    <t>NA3311</t>
  </si>
  <si>
    <t>NA3280</t>
  </si>
  <si>
    <t>TA3030</t>
  </si>
  <si>
    <t>NA3312</t>
  </si>
  <si>
    <t>TA3040</t>
  </si>
  <si>
    <t>TA3060</t>
  </si>
  <si>
    <t>TA3050</t>
  </si>
  <si>
    <t>NA3301</t>
  </si>
  <si>
    <t>NA3291</t>
  </si>
  <si>
    <t>NA3292</t>
  </si>
  <si>
    <t>NA3330</t>
  </si>
  <si>
    <t>NA3320</t>
  </si>
  <si>
    <t>PM1440</t>
  </si>
  <si>
    <t>PM1450</t>
  </si>
  <si>
    <t>NA3340</t>
  </si>
  <si>
    <t>PM1490</t>
  </si>
  <si>
    <t>PM1480</t>
  </si>
  <si>
    <t>PM1470</t>
  </si>
  <si>
    <t>NA3370</t>
  </si>
  <si>
    <t>PM1500</t>
  </si>
  <si>
    <t>Part No Customer</t>
  </si>
  <si>
    <t xml:space="preserve"> PE17720 </t>
  </si>
  <si>
    <t xml:space="preserve"> N017910 </t>
  </si>
  <si>
    <t xml:space="preserve"> N017800 </t>
  </si>
  <si>
    <t xml:space="preserve"> K016380 </t>
  </si>
  <si>
    <t xml:space="preserve"> N017520 </t>
  </si>
  <si>
    <t xml:space="preserve"> C1651 </t>
  </si>
  <si>
    <t xml:space="preserve"> C01654 </t>
  </si>
  <si>
    <t xml:space="preserve"> K-1652 SO </t>
  </si>
  <si>
    <t xml:space="preserve"> K016530 </t>
  </si>
  <si>
    <t xml:space="preserve"> N017150 </t>
  </si>
  <si>
    <t xml:space="preserve"> H016030 </t>
  </si>
  <si>
    <t xml:space="preserve"> F152RX </t>
  </si>
  <si>
    <t xml:space="preserve"> N017600 </t>
  </si>
  <si>
    <t xml:space="preserve"> K017080 </t>
  </si>
  <si>
    <t xml:space="preserve"> PE1755 </t>
  </si>
  <si>
    <t xml:space="preserve"> N016630 </t>
  </si>
  <si>
    <t xml:space="preserve"> E016900 </t>
  </si>
  <si>
    <t xml:space="preserve"> E017900 </t>
  </si>
  <si>
    <t xml:space="preserve"> E-1776 SO </t>
  </si>
  <si>
    <t xml:space="preserve"> SO N 1774 </t>
  </si>
  <si>
    <t xml:space="preserve"> H-1607 SO </t>
  </si>
  <si>
    <t xml:space="preserve"> C016530 </t>
  </si>
  <si>
    <t xml:space="preserve"> N1708 </t>
  </si>
  <si>
    <t xml:space="preserve"> K-1655 SO </t>
  </si>
  <si>
    <t xml:space="preserve"> K-1785 SO </t>
  </si>
  <si>
    <t xml:space="preserve"> H-1605 SO </t>
  </si>
  <si>
    <t xml:space="preserve"> N017180 </t>
  </si>
  <si>
    <t xml:space="preserve"> K16490 </t>
  </si>
  <si>
    <t xml:space="preserve"> F1758A SO </t>
  </si>
  <si>
    <t xml:space="preserve"> K-1787 SO </t>
  </si>
  <si>
    <t xml:space="preserve"> P01766 SO </t>
  </si>
  <si>
    <t xml:space="preserve"> H - 1611 SO </t>
  </si>
  <si>
    <t xml:space="preserve"> C - 1658 SO </t>
  </si>
  <si>
    <t xml:space="preserve"> N017240 SO </t>
  </si>
  <si>
    <t xml:space="preserve"> H016060 SO </t>
  </si>
  <si>
    <t xml:space="preserve"> P 1765 SO </t>
  </si>
  <si>
    <t xml:space="preserve"> N017330 </t>
  </si>
  <si>
    <t xml:space="preserve"> N017400 </t>
  </si>
  <si>
    <t xml:space="preserve"> H016040 </t>
  </si>
  <si>
    <t xml:space="preserve"> N017280 </t>
  </si>
  <si>
    <t>Outer</t>
  </si>
  <si>
    <t>Middle</t>
  </si>
  <si>
    <t>Inner</t>
  </si>
  <si>
    <t xml:space="preserve"> SPAN PET 20 /6</t>
  </si>
  <si>
    <t>POLIESTER  1500/D1</t>
  </si>
  <si>
    <t>NYLON  940/2</t>
  </si>
  <si>
    <t>NYLON  1400/2</t>
  </si>
  <si>
    <t xml:space="preserve"> SPAN  PET 20 /3</t>
  </si>
  <si>
    <t>NYLON  1400/1</t>
  </si>
  <si>
    <t>Length Shrink (mm)</t>
  </si>
  <si>
    <t>BOM TOTAL (GR)</t>
  </si>
  <si>
    <t>Line Curing</t>
  </si>
  <si>
    <t>Cap/Stopper</t>
  </si>
  <si>
    <t>No SPS</t>
  </si>
  <si>
    <t>SOP/PROD/HOSE/SPS/1/18</t>
  </si>
  <si>
    <t>SOP/PROD/HOSE/SPS/1/21</t>
  </si>
  <si>
    <t>SOP/PROD/HOSE/SPS/1/15</t>
  </si>
  <si>
    <t>SOP/PROD/HOSE/SPS/1/4</t>
  </si>
  <si>
    <t>SOP/PROD/HOSE/SPS/1/6</t>
  </si>
  <si>
    <t>SOP/PROD/HOSE/SPS/1/19</t>
  </si>
  <si>
    <t>SOP/PROD/HOSE/SPS/1/8</t>
  </si>
  <si>
    <t>SOP/PROD/HOSE/SPS/1/3</t>
  </si>
  <si>
    <t>SOP/PROD/HOSE/SPS/1/5</t>
  </si>
  <si>
    <t>SOP/PROD/HOSE/SPS/1/7</t>
  </si>
  <si>
    <t>SOP/PROD/HOSE/SPS/1/17</t>
  </si>
  <si>
    <t>SOP/PROD/HOSE/SPS/1/11</t>
  </si>
  <si>
    <t>SOP/PROD/HOSE/SPS/1/10</t>
  </si>
  <si>
    <t>SOP/PROD/HOSE/SPS/1/12</t>
  </si>
  <si>
    <t>DL3</t>
  </si>
  <si>
    <t>DL1</t>
  </si>
  <si>
    <t>DL2</t>
  </si>
  <si>
    <t>MANUAL</t>
  </si>
  <si>
    <t>SOP/PROD/HOSE/SPS/1/22</t>
  </si>
  <si>
    <t>SOP/PROD/HOSE/SPS/1/23</t>
  </si>
  <si>
    <t>SOP/PROD/HOSE/SPS/1/24</t>
  </si>
  <si>
    <t>27-2</t>
  </si>
  <si>
    <t>43-1</t>
  </si>
  <si>
    <t>28-2</t>
  </si>
  <si>
    <t>22-2</t>
  </si>
  <si>
    <t>18-0</t>
  </si>
  <si>
    <t>8-0</t>
  </si>
  <si>
    <t>49-0</t>
  </si>
  <si>
    <t>13-1</t>
  </si>
  <si>
    <t>50-0</t>
  </si>
  <si>
    <t>10-7</t>
  </si>
  <si>
    <t>38-0</t>
  </si>
  <si>
    <t>3-0</t>
  </si>
  <si>
    <t>47-0</t>
  </si>
  <si>
    <t>SOP/PROD/HOSE/SPS/2/1</t>
  </si>
  <si>
    <t>21-1</t>
  </si>
  <si>
    <t>4-0</t>
  </si>
  <si>
    <t>40-1</t>
  </si>
  <si>
    <t>26-0</t>
  </si>
  <si>
    <t>24-1</t>
  </si>
  <si>
    <t>36-1</t>
  </si>
  <si>
    <t>19-2</t>
  </si>
  <si>
    <t>42-0</t>
  </si>
  <si>
    <t>Total BOM (GR)</t>
  </si>
  <si>
    <t>Ada di katalog, gaada di masterlist</t>
  </si>
  <si>
    <t>TA0320</t>
  </si>
  <si>
    <t>TA166B</t>
  </si>
  <si>
    <t>MS0800</t>
  </si>
  <si>
    <t>MS0090</t>
  </si>
  <si>
    <t>FM1940</t>
  </si>
  <si>
    <t>PM1460</t>
  </si>
  <si>
    <t>NA3000</t>
  </si>
  <si>
    <t>NA3030</t>
  </si>
  <si>
    <t>NA3040</t>
  </si>
  <si>
    <t>NA2400</t>
  </si>
  <si>
    <t>TA2770</t>
  </si>
  <si>
    <t>NA3300</t>
  </si>
  <si>
    <t>TA2750</t>
  </si>
  <si>
    <t>TA2830</t>
  </si>
  <si>
    <t>TA2840</t>
  </si>
  <si>
    <t>TA2850</t>
  </si>
  <si>
    <t>TA2860</t>
  </si>
  <si>
    <t>TA2870</t>
  </si>
  <si>
    <t>TA2880</t>
  </si>
  <si>
    <t>TA1790</t>
  </si>
  <si>
    <t>TA1490</t>
  </si>
  <si>
    <t>TA2950</t>
  </si>
  <si>
    <t>Ada di masterlist, gaada di katalog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</si>
</sst>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Merged%20Standard%20Panjang%20G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PIING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list_Digitalisasi_Combin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list_Digitalisasi_Combined_F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A2" t="str">
            <v>HN0270</v>
          </cell>
          <cell r="B2" t="str">
            <v>44771-22700</v>
          </cell>
          <cell r="C2">
            <v>3.5</v>
          </cell>
          <cell r="D2">
            <v>7.5</v>
          </cell>
          <cell r="E2" t="str">
            <v>118±2</v>
          </cell>
          <cell r="F2"/>
        </row>
        <row r="3">
          <cell r="A3" t="str">
            <v>HN0280</v>
          </cell>
          <cell r="B3" t="str">
            <v>44771-23700</v>
          </cell>
          <cell r="C3">
            <v>3.5</v>
          </cell>
          <cell r="D3">
            <v>7.5</v>
          </cell>
          <cell r="E3" t="str">
            <v>483±2</v>
          </cell>
          <cell r="F3"/>
        </row>
        <row r="4">
          <cell r="A4" t="str">
            <v>HN0290</v>
          </cell>
          <cell r="B4" t="str">
            <v>44771-24000</v>
          </cell>
          <cell r="C4">
            <v>3.5</v>
          </cell>
          <cell r="D4">
            <v>7.5</v>
          </cell>
          <cell r="E4" t="str">
            <v>728±2</v>
          </cell>
          <cell r="F4"/>
        </row>
        <row r="5">
          <cell r="A5" t="str">
            <v>HN0400</v>
          </cell>
          <cell r="B5" t="str">
            <v>44771-2380A</v>
          </cell>
          <cell r="C5">
            <v>3.5</v>
          </cell>
          <cell r="D5">
            <v>7.5</v>
          </cell>
          <cell r="E5" t="str">
            <v>662±2</v>
          </cell>
          <cell r="F5"/>
        </row>
        <row r="6">
          <cell r="A6" t="str">
            <v>MS0800</v>
          </cell>
          <cell r="B6" t="str">
            <v>MK482388</v>
          </cell>
          <cell r="C6">
            <v>7.5</v>
          </cell>
          <cell r="D6">
            <v>14.5</v>
          </cell>
          <cell r="E6" t="str">
            <v>313±2</v>
          </cell>
          <cell r="F6"/>
        </row>
        <row r="7">
          <cell r="A7" t="str">
            <v>MS0900</v>
          </cell>
          <cell r="B7" t="str">
            <v>MK432694</v>
          </cell>
          <cell r="C7">
            <v>7.5</v>
          </cell>
          <cell r="D7">
            <v>14.5</v>
          </cell>
          <cell r="E7" t="str">
            <v>313±2</v>
          </cell>
          <cell r="F7"/>
        </row>
        <row r="8">
          <cell r="A8" t="str">
            <v>MS0100</v>
          </cell>
          <cell r="B8" t="str">
            <v>MK515626</v>
          </cell>
          <cell r="C8">
            <v>7.5</v>
          </cell>
          <cell r="D8">
            <v>14.5</v>
          </cell>
          <cell r="E8" t="str">
            <v>293±2</v>
          </cell>
          <cell r="F8"/>
        </row>
        <row r="9">
          <cell r="A9" t="str">
            <v>MS0110</v>
          </cell>
          <cell r="B9" t="str">
            <v>MK515628</v>
          </cell>
          <cell r="C9">
            <v>7.5</v>
          </cell>
          <cell r="D9">
            <v>14.5</v>
          </cell>
          <cell r="E9" t="str">
            <v>368±2</v>
          </cell>
          <cell r="F9"/>
        </row>
        <row r="10">
          <cell r="A10" t="str">
            <v>MS0120</v>
          </cell>
          <cell r="B10" t="str">
            <v>MK551876</v>
          </cell>
          <cell r="C10">
            <v>7.5</v>
          </cell>
          <cell r="D10">
            <v>14.5</v>
          </cell>
          <cell r="E10" t="str">
            <v>358±2</v>
          </cell>
          <cell r="F10"/>
        </row>
        <row r="11">
          <cell r="A11" t="str">
            <v>MS0240</v>
          </cell>
          <cell r="B11" t="str">
            <v>A4301870082</v>
          </cell>
          <cell r="C11">
            <v>15.5</v>
          </cell>
          <cell r="D11">
            <v>21.5</v>
          </cell>
          <cell r="E11" t="str">
            <v>450±2</v>
          </cell>
          <cell r="F11"/>
        </row>
        <row r="12">
          <cell r="A12" t="str">
            <v>NA1270</v>
          </cell>
          <cell r="B12" t="str">
            <v>23827-BZ010</v>
          </cell>
          <cell r="C12">
            <v>5.4</v>
          </cell>
          <cell r="D12">
            <v>10.4</v>
          </cell>
          <cell r="E12" t="str">
            <v>413±2</v>
          </cell>
          <cell r="F12" t="str">
            <v>373-377</v>
          </cell>
        </row>
        <row r="13">
          <cell r="A13" t="str">
            <v>NA1280</v>
          </cell>
          <cell r="B13" t="str">
            <v>77754-BZ080</v>
          </cell>
          <cell r="C13">
            <v>5.4</v>
          </cell>
          <cell r="D13">
            <v>10.4</v>
          </cell>
          <cell r="E13" t="str">
            <v>375±2</v>
          </cell>
          <cell r="F13" t="str">
            <v>340-344</v>
          </cell>
        </row>
        <row r="14">
          <cell r="A14" t="str">
            <v>NA1360</v>
          </cell>
          <cell r="B14" t="str">
            <v>77754-BZ090</v>
          </cell>
          <cell r="C14">
            <v>5.4</v>
          </cell>
          <cell r="D14">
            <v>10.4</v>
          </cell>
          <cell r="E14" t="str">
            <v>233±2</v>
          </cell>
          <cell r="F14"/>
        </row>
        <row r="15">
          <cell r="A15" t="str">
            <v>NA1370</v>
          </cell>
          <cell r="B15" t="str">
            <v>77795-BZ100</v>
          </cell>
          <cell r="C15">
            <v>5.4</v>
          </cell>
          <cell r="D15">
            <v>10.4</v>
          </cell>
          <cell r="E15" t="str">
            <v>338±2</v>
          </cell>
          <cell r="F15"/>
        </row>
        <row r="16">
          <cell r="A16" t="str">
            <v>NA1410</v>
          </cell>
          <cell r="B16" t="str">
            <v>12261-BZ160</v>
          </cell>
          <cell r="C16">
            <v>9</v>
          </cell>
          <cell r="D16">
            <v>17</v>
          </cell>
          <cell r="E16" t="str">
            <v>533±2</v>
          </cell>
          <cell r="F16" t="str">
            <v>481-485</v>
          </cell>
        </row>
        <row r="17">
          <cell r="A17" t="str">
            <v>NA1560</v>
          </cell>
          <cell r="B17" t="str">
            <v>23827-BZ020</v>
          </cell>
          <cell r="C17">
            <v>7</v>
          </cell>
          <cell r="D17">
            <v>14</v>
          </cell>
          <cell r="E17" t="str">
            <v>345±2</v>
          </cell>
          <cell r="F17" t="str">
            <v>306-310</v>
          </cell>
        </row>
        <row r="18">
          <cell r="A18" t="str">
            <v>NA1570</v>
          </cell>
          <cell r="B18" t="str">
            <v>12262-BZ080</v>
          </cell>
          <cell r="C18">
            <v>15</v>
          </cell>
          <cell r="D18">
            <v>22</v>
          </cell>
          <cell r="E18" t="str">
            <v>508±2</v>
          </cell>
          <cell r="F18" t="str">
            <v>475-480</v>
          </cell>
        </row>
        <row r="19">
          <cell r="A19" t="str">
            <v>NA1580</v>
          </cell>
          <cell r="B19" t="str">
            <v>77213-BZ170</v>
          </cell>
          <cell r="C19">
            <v>34</v>
          </cell>
          <cell r="D19">
            <v>42</v>
          </cell>
          <cell r="E19" t="str">
            <v>343±2</v>
          </cell>
          <cell r="F19" t="str">
            <v>339-342</v>
          </cell>
        </row>
        <row r="20">
          <cell r="A20" t="str">
            <v>NA1600</v>
          </cell>
          <cell r="B20" t="str">
            <v>12261-BZ180</v>
          </cell>
          <cell r="C20">
            <v>9</v>
          </cell>
          <cell r="D20">
            <v>17</v>
          </cell>
          <cell r="E20" t="str">
            <v>533±2</v>
          </cell>
          <cell r="F20" t="str">
            <v>481-485</v>
          </cell>
        </row>
        <row r="21">
          <cell r="A21" t="str">
            <v>NA1610</v>
          </cell>
          <cell r="B21" t="str">
            <v>77213-BZ160</v>
          </cell>
          <cell r="C21">
            <v>34</v>
          </cell>
          <cell r="D21">
            <v>42</v>
          </cell>
          <cell r="E21" t="str">
            <v>343±2</v>
          </cell>
          <cell r="F21"/>
        </row>
        <row r="22">
          <cell r="A22" t="str">
            <v>NA1630</v>
          </cell>
          <cell r="B22" t="str">
            <v>23827-BZ080</v>
          </cell>
          <cell r="C22">
            <v>7</v>
          </cell>
          <cell r="D22">
            <v>14</v>
          </cell>
          <cell r="E22" t="str">
            <v>515±2</v>
          </cell>
          <cell r="F22" t="str">
            <v>473-477</v>
          </cell>
        </row>
        <row r="23">
          <cell r="A23" t="str">
            <v>NA1640</v>
          </cell>
          <cell r="B23" t="str">
            <v>77213-BZ150</v>
          </cell>
          <cell r="C23">
            <v>34</v>
          </cell>
          <cell r="D23">
            <v>43</v>
          </cell>
          <cell r="E23" t="str">
            <v>428±2</v>
          </cell>
          <cell r="F23" t="str">
            <v>425-428</v>
          </cell>
        </row>
        <row r="24">
          <cell r="A24" t="str">
            <v>NA1650</v>
          </cell>
          <cell r="B24" t="str">
            <v>77269-BZ120</v>
          </cell>
          <cell r="C24">
            <v>13.5</v>
          </cell>
          <cell r="D24">
            <v>21.5</v>
          </cell>
          <cell r="E24" t="str">
            <v>590±2</v>
          </cell>
          <cell r="F24"/>
        </row>
        <row r="25">
          <cell r="A25" t="str">
            <v>NA1661</v>
          </cell>
          <cell r="B25" t="str">
            <v>77754-BZ240</v>
          </cell>
          <cell r="C25">
            <v>5.4</v>
          </cell>
          <cell r="D25">
            <v>10.4</v>
          </cell>
          <cell r="E25" t="str">
            <v>210±2</v>
          </cell>
          <cell r="F25" t="str">
            <v>188-192</v>
          </cell>
        </row>
        <row r="26">
          <cell r="A26" t="str">
            <v>NA1662</v>
          </cell>
          <cell r="B26" t="str">
            <v>77754-BZ260</v>
          </cell>
          <cell r="C26">
            <v>5.4</v>
          </cell>
          <cell r="D26">
            <v>10.4</v>
          </cell>
          <cell r="E26" t="str">
            <v>590±2</v>
          </cell>
          <cell r="F26" t="str">
            <v>535-540</v>
          </cell>
        </row>
        <row r="27">
          <cell r="A27" t="str">
            <v>NA1671</v>
          </cell>
          <cell r="B27" t="str">
            <v>77754-BZ250</v>
          </cell>
          <cell r="C27">
            <v>5.4</v>
          </cell>
          <cell r="D27">
            <v>10.4</v>
          </cell>
          <cell r="E27" t="str">
            <v>438±2</v>
          </cell>
          <cell r="F27" t="str">
            <v>398-402</v>
          </cell>
        </row>
        <row r="28">
          <cell r="A28" t="str">
            <v>NA1672</v>
          </cell>
          <cell r="B28" t="str">
            <v>77754-BZ230</v>
          </cell>
          <cell r="C28">
            <v>5.4</v>
          </cell>
          <cell r="D28">
            <v>10.4</v>
          </cell>
          <cell r="E28" t="str">
            <v>165±2</v>
          </cell>
          <cell r="F28" t="str">
            <v>145-149</v>
          </cell>
        </row>
        <row r="29">
          <cell r="A29" t="str">
            <v>NA1680</v>
          </cell>
          <cell r="B29" t="str">
            <v>12261-BZ220</v>
          </cell>
          <cell r="C29">
            <v>9</v>
          </cell>
          <cell r="D29">
            <v>17</v>
          </cell>
          <cell r="E29" t="str">
            <v>520±2</v>
          </cell>
          <cell r="F29" t="str">
            <v>462-466</v>
          </cell>
        </row>
        <row r="30">
          <cell r="A30" t="str">
            <v>NA1690</v>
          </cell>
          <cell r="B30" t="str">
            <v>23827-BZ060</v>
          </cell>
          <cell r="C30">
            <v>7</v>
          </cell>
          <cell r="D30">
            <v>14</v>
          </cell>
          <cell r="E30" t="str">
            <v>148±2</v>
          </cell>
          <cell r="F30" t="str">
            <v>135-139</v>
          </cell>
        </row>
        <row r="31">
          <cell r="A31" t="str">
            <v>NA1760</v>
          </cell>
          <cell r="B31" t="str">
            <v>47234-BZ040</v>
          </cell>
          <cell r="C31">
            <v>8.5</v>
          </cell>
          <cell r="D31">
            <v>16.600000000000001</v>
          </cell>
          <cell r="E31" t="str">
            <v>258±2</v>
          </cell>
          <cell r="F31"/>
        </row>
        <row r="32">
          <cell r="A32" t="str">
            <v>NA1770</v>
          </cell>
          <cell r="B32" t="str">
            <v>47235-BZ010</v>
          </cell>
          <cell r="C32">
            <v>8.5</v>
          </cell>
          <cell r="D32">
            <v>16.600000000000001</v>
          </cell>
          <cell r="E32" t="str">
            <v>278±2</v>
          </cell>
          <cell r="F32"/>
        </row>
        <row r="33">
          <cell r="A33" t="str">
            <v>NA1801</v>
          </cell>
          <cell r="B33" t="str">
            <v>77754-BZ320</v>
          </cell>
          <cell r="C33">
            <v>5.4</v>
          </cell>
          <cell r="D33">
            <v>10.4</v>
          </cell>
          <cell r="E33" t="str">
            <v>243±2</v>
          </cell>
          <cell r="F33"/>
        </row>
        <row r="34">
          <cell r="A34" t="str">
            <v>NA1802</v>
          </cell>
          <cell r="B34" t="str">
            <v>77754-BZ330</v>
          </cell>
          <cell r="C34">
            <v>5.4</v>
          </cell>
          <cell r="D34">
            <v>10.4</v>
          </cell>
          <cell r="E34" t="str">
            <v>223±2</v>
          </cell>
          <cell r="F34" t="str">
            <v>201-204</v>
          </cell>
        </row>
        <row r="35">
          <cell r="A35" t="str">
            <v>NA1810</v>
          </cell>
          <cell r="B35" t="str">
            <v>31434-B5010</v>
          </cell>
          <cell r="C35">
            <v>8.5</v>
          </cell>
          <cell r="D35">
            <v>16.600000000000001</v>
          </cell>
          <cell r="E35" t="str">
            <v>174±2</v>
          </cell>
          <cell r="F35"/>
        </row>
        <row r="36">
          <cell r="A36" t="str">
            <v>NA1821</v>
          </cell>
          <cell r="B36" t="str">
            <v>77754-BZ300</v>
          </cell>
          <cell r="C36">
            <v>5.4</v>
          </cell>
          <cell r="D36">
            <v>10.4</v>
          </cell>
          <cell r="E36" t="str">
            <v>203±2</v>
          </cell>
          <cell r="F36" t="str">
            <v>188-192</v>
          </cell>
        </row>
        <row r="37">
          <cell r="A37" t="str">
            <v>NA1822</v>
          </cell>
          <cell r="B37" t="str">
            <v>77754-BZ310</v>
          </cell>
          <cell r="C37">
            <v>5.4</v>
          </cell>
          <cell r="D37">
            <v>10.4</v>
          </cell>
          <cell r="E37" t="str">
            <v>213±2</v>
          </cell>
          <cell r="F37" t="str">
            <v>195-199</v>
          </cell>
        </row>
        <row r="38">
          <cell r="A38" t="str">
            <v>NA2033</v>
          </cell>
          <cell r="B38" t="str">
            <v>23828-BZ010-H</v>
          </cell>
          <cell r="C38">
            <v>5.4</v>
          </cell>
          <cell r="D38">
            <v>10.4</v>
          </cell>
          <cell r="E38" t="str">
            <v>90±2</v>
          </cell>
          <cell r="F38" t="str">
            <v>74-78</v>
          </cell>
        </row>
        <row r="39">
          <cell r="A39" t="str">
            <v>NA2040</v>
          </cell>
          <cell r="B39" t="str">
            <v>12262-BZ130-H</v>
          </cell>
          <cell r="C39">
            <v>15</v>
          </cell>
          <cell r="D39">
            <v>22</v>
          </cell>
          <cell r="E39" t="str">
            <v>263±2</v>
          </cell>
          <cell r="F39" t="str">
            <v>222-230</v>
          </cell>
        </row>
        <row r="40">
          <cell r="A40" t="str">
            <v>NA2050</v>
          </cell>
          <cell r="B40" t="str">
            <v>12262-BZ200-H</v>
          </cell>
          <cell r="C40">
            <v>15</v>
          </cell>
          <cell r="D40">
            <v>22</v>
          </cell>
          <cell r="E40" t="str">
            <v>245±2</v>
          </cell>
          <cell r="F40" t="str">
            <v>227-231</v>
          </cell>
        </row>
        <row r="41">
          <cell r="A41" t="str">
            <v>NA2060</v>
          </cell>
          <cell r="B41" t="str">
            <v>77249-BZ030-H</v>
          </cell>
          <cell r="C41">
            <v>4.2</v>
          </cell>
          <cell r="D41">
            <v>11.2</v>
          </cell>
          <cell r="E41" t="str">
            <v>380±2</v>
          </cell>
          <cell r="F41" t="str">
            <v>350-354</v>
          </cell>
        </row>
        <row r="42">
          <cell r="A42" t="str">
            <v>NA2110</v>
          </cell>
          <cell r="B42" t="str">
            <v>77269-BZ130-H</v>
          </cell>
          <cell r="C42">
            <v>13.5</v>
          </cell>
          <cell r="D42">
            <v>21.5</v>
          </cell>
          <cell r="E42" t="str">
            <v>520±2</v>
          </cell>
          <cell r="F42"/>
        </row>
        <row r="43">
          <cell r="A43" t="str">
            <v>NA2120</v>
          </cell>
          <cell r="B43" t="str">
            <v>77259-BZ130-H</v>
          </cell>
          <cell r="C43">
            <v>4.2</v>
          </cell>
          <cell r="D43">
            <v>11.2</v>
          </cell>
          <cell r="E43" t="str">
            <v>220±2</v>
          </cell>
          <cell r="F43" t="str">
            <v>198-202</v>
          </cell>
        </row>
        <row r="44">
          <cell r="A44" t="str">
            <v>NA2140</v>
          </cell>
          <cell r="B44" t="str">
            <v>77259-BZ120-H</v>
          </cell>
          <cell r="C44">
            <v>4.3</v>
          </cell>
          <cell r="D44">
            <v>8.3000000000000007</v>
          </cell>
          <cell r="E44" t="str">
            <v>280±2</v>
          </cell>
          <cell r="F44" t="str">
            <v>230-235</v>
          </cell>
        </row>
        <row r="45">
          <cell r="A45" t="str">
            <v>NA2661</v>
          </cell>
          <cell r="B45" t="str">
            <v>23827-BZ150-H (1)</v>
          </cell>
          <cell r="C45">
            <v>5.4</v>
          </cell>
          <cell r="D45">
            <v>12.4</v>
          </cell>
          <cell r="E45" t="str">
            <v>547±2</v>
          </cell>
          <cell r="F45" t="str">
            <v>495-500</v>
          </cell>
        </row>
        <row r="46">
          <cell r="A46" t="str">
            <v>NA2662</v>
          </cell>
          <cell r="B46" t="str">
            <v>23827-BZ150-H (2)</v>
          </cell>
          <cell r="C46">
            <v>7</v>
          </cell>
          <cell r="D46">
            <v>14</v>
          </cell>
          <cell r="E46" t="str">
            <v>143±2</v>
          </cell>
          <cell r="F46" t="str">
            <v>131-133</v>
          </cell>
        </row>
        <row r="47">
          <cell r="A47" t="str">
            <v>NA2780</v>
          </cell>
          <cell r="B47" t="str">
            <v>12261-BZ210-B</v>
          </cell>
          <cell r="C47">
            <v>9</v>
          </cell>
          <cell r="D47">
            <v>17</v>
          </cell>
          <cell r="E47" t="str">
            <v>570±2</v>
          </cell>
          <cell r="F47" t="str">
            <v>516-520</v>
          </cell>
        </row>
        <row r="48">
          <cell r="A48" t="str">
            <v>NA2820</v>
          </cell>
          <cell r="B48" t="str">
            <v>23827-BZ130-H</v>
          </cell>
          <cell r="C48">
            <v>7</v>
          </cell>
          <cell r="D48">
            <v>14</v>
          </cell>
          <cell r="E48" t="str">
            <v>541±2</v>
          </cell>
          <cell r="F48" t="str">
            <v>493-497</v>
          </cell>
        </row>
        <row r="49">
          <cell r="A49" t="str">
            <v>NA2900</v>
          </cell>
          <cell r="B49" t="str">
            <v>77213-BZ250-H</v>
          </cell>
          <cell r="C49">
            <v>34</v>
          </cell>
          <cell r="D49">
            <v>42</v>
          </cell>
          <cell r="E49" t="str">
            <v>545±2</v>
          </cell>
          <cell r="F49" t="str">
            <v>542-544</v>
          </cell>
        </row>
        <row r="50">
          <cell r="A50" t="str">
            <v>NA2910</v>
          </cell>
          <cell r="B50" t="str">
            <v>77269-BZ140-H</v>
          </cell>
          <cell r="C50">
            <v>13.5</v>
          </cell>
          <cell r="D50">
            <v>21.5</v>
          </cell>
          <cell r="E50" t="str">
            <v>515±2</v>
          </cell>
          <cell r="F50"/>
        </row>
        <row r="51">
          <cell r="A51" t="str">
            <v>NA3220</v>
          </cell>
          <cell r="B51" t="str">
            <v>31434-B0041</v>
          </cell>
          <cell r="C51">
            <v>8.5</v>
          </cell>
          <cell r="D51">
            <v>16.600000000000001</v>
          </cell>
          <cell r="E51" t="str">
            <v>425±2</v>
          </cell>
          <cell r="F51"/>
        </row>
        <row r="52">
          <cell r="A52" t="str">
            <v>NA3230</v>
          </cell>
          <cell r="B52" t="str">
            <v>31434-B0080</v>
          </cell>
          <cell r="C52">
            <v>8.5</v>
          </cell>
          <cell r="D52">
            <v>16.600000000000001</v>
          </cell>
          <cell r="E52" t="str">
            <v>565±2</v>
          </cell>
          <cell r="F52"/>
        </row>
        <row r="53">
          <cell r="A53" t="str">
            <v>NA3240</v>
          </cell>
          <cell r="B53" t="str">
            <v>31434-B1070</v>
          </cell>
          <cell r="C53">
            <v>8.5</v>
          </cell>
          <cell r="D53">
            <v>16.600000000000001</v>
          </cell>
          <cell r="E53" t="str">
            <v>470±2</v>
          </cell>
          <cell r="F53"/>
        </row>
        <row r="54">
          <cell r="A54" t="str">
            <v>NA3250</v>
          </cell>
          <cell r="B54" t="str">
            <v>31434-B1090</v>
          </cell>
          <cell r="C54">
            <v>8.5</v>
          </cell>
          <cell r="D54">
            <v>16.600000000000001</v>
          </cell>
          <cell r="E54" t="str">
            <v>492±2</v>
          </cell>
          <cell r="F54"/>
        </row>
        <row r="55">
          <cell r="A55" t="str">
            <v>NA3260</v>
          </cell>
          <cell r="B55" t="str">
            <v>31434-B5030</v>
          </cell>
          <cell r="C55">
            <v>8.5</v>
          </cell>
          <cell r="D55">
            <v>16.600000000000001</v>
          </cell>
          <cell r="E55" t="str">
            <v>180±2</v>
          </cell>
          <cell r="F55"/>
        </row>
        <row r="56">
          <cell r="A56" t="str">
            <v>NA3270</v>
          </cell>
          <cell r="B56" t="str">
            <v>31434-B5470</v>
          </cell>
          <cell r="C56">
            <v>3.5</v>
          </cell>
          <cell r="D56">
            <v>7.5</v>
          </cell>
          <cell r="E56" t="str">
            <v>340±2</v>
          </cell>
          <cell r="F56"/>
        </row>
        <row r="57">
          <cell r="A57" t="str">
            <v>NA3311</v>
          </cell>
          <cell r="B57" t="str">
            <v>17294-B1050</v>
          </cell>
          <cell r="C57">
            <v>3.5</v>
          </cell>
          <cell r="D57">
            <v>8.5</v>
          </cell>
          <cell r="E57" t="str">
            <v>185±2</v>
          </cell>
          <cell r="F57"/>
        </row>
        <row r="58">
          <cell r="A58" t="str">
            <v>NA3312</v>
          </cell>
          <cell r="B58" t="str">
            <v>17294-B1070</v>
          </cell>
          <cell r="C58">
            <v>3.5</v>
          </cell>
          <cell r="D58">
            <v>8.5</v>
          </cell>
          <cell r="E58" t="str">
            <v>270±2</v>
          </cell>
          <cell r="F58"/>
        </row>
        <row r="59">
          <cell r="A59" t="str">
            <v>PM1060</v>
          </cell>
          <cell r="B59">
            <v>8982851430</v>
          </cell>
          <cell r="C59">
            <v>8</v>
          </cell>
          <cell r="D59">
            <v>14</v>
          </cell>
          <cell r="E59" t="str">
            <v>453±2</v>
          </cell>
          <cell r="F59"/>
        </row>
        <row r="60">
          <cell r="A60" t="str">
            <v>PM1070</v>
          </cell>
          <cell r="B60">
            <v>8982851440</v>
          </cell>
          <cell r="C60">
            <v>8</v>
          </cell>
          <cell r="D60">
            <v>14</v>
          </cell>
          <cell r="E60" t="str">
            <v>413±2</v>
          </cell>
          <cell r="F60"/>
        </row>
        <row r="61">
          <cell r="A61" t="str">
            <v>PM1350</v>
          </cell>
          <cell r="B61">
            <v>8982173462</v>
          </cell>
          <cell r="C61">
            <v>8.73</v>
          </cell>
          <cell r="D61">
            <v>17.5</v>
          </cell>
          <cell r="E61" t="str">
            <v>250±2</v>
          </cell>
          <cell r="F61"/>
        </row>
        <row r="62">
          <cell r="A62" t="str">
            <v>FM1450</v>
          </cell>
          <cell r="B62"/>
          <cell r="C62">
            <v>5.3</v>
          </cell>
          <cell r="D62">
            <v>10.3</v>
          </cell>
          <cell r="E62">
            <v>18000</v>
          </cell>
          <cell r="F62"/>
        </row>
        <row r="63">
          <cell r="A63" t="str">
            <v>FM1940</v>
          </cell>
          <cell r="B63"/>
          <cell r="C63">
            <v>5.3</v>
          </cell>
          <cell r="D63">
            <v>10.3</v>
          </cell>
          <cell r="E63">
            <v>18000</v>
          </cell>
          <cell r="F63"/>
        </row>
        <row r="64">
          <cell r="A64" t="str">
            <v>PM1360</v>
          </cell>
          <cell r="B64">
            <v>8980009661</v>
          </cell>
          <cell r="C64">
            <v>8.73</v>
          </cell>
          <cell r="D64">
            <v>17.5</v>
          </cell>
          <cell r="E64" t="str">
            <v>182±2</v>
          </cell>
          <cell r="F64"/>
        </row>
        <row r="65">
          <cell r="A65" t="str">
            <v>PM1330</v>
          </cell>
          <cell r="B65">
            <v>8980009670</v>
          </cell>
          <cell r="C65">
            <v>8.73</v>
          </cell>
          <cell r="D65">
            <v>17.5</v>
          </cell>
          <cell r="E65" t="str">
            <v>406±2</v>
          </cell>
          <cell r="F65"/>
        </row>
        <row r="66">
          <cell r="A66" t="str">
            <v>PM1080</v>
          </cell>
          <cell r="B66">
            <v>8982597690</v>
          </cell>
          <cell r="C66">
            <v>8</v>
          </cell>
          <cell r="D66">
            <v>14</v>
          </cell>
          <cell r="E66" t="str">
            <v>418±2</v>
          </cell>
          <cell r="F66"/>
        </row>
        <row r="67">
          <cell r="A67" t="str">
            <v>PM1100</v>
          </cell>
          <cell r="B67">
            <v>8982391660</v>
          </cell>
          <cell r="C67">
            <v>8.73</v>
          </cell>
          <cell r="D67">
            <v>17.5</v>
          </cell>
          <cell r="E67" t="str">
            <v>510±2</v>
          </cell>
          <cell r="F67" t="str">
            <v>505-508</v>
          </cell>
        </row>
        <row r="68">
          <cell r="A68" t="str">
            <v>PM1120</v>
          </cell>
          <cell r="B68">
            <v>8975170170</v>
          </cell>
          <cell r="C68">
            <v>14</v>
          </cell>
          <cell r="D68">
            <v>22.5</v>
          </cell>
          <cell r="E68" t="str">
            <v>400±2</v>
          </cell>
          <cell r="F68" t="str">
            <v>360-369</v>
          </cell>
        </row>
        <row r="69">
          <cell r="A69" t="str">
            <v>PM1330</v>
          </cell>
          <cell r="B69" t="str">
            <v>P864002990</v>
          </cell>
          <cell r="C69">
            <v>8.73</v>
          </cell>
          <cell r="D69">
            <v>17.5</v>
          </cell>
          <cell r="E69">
            <v>423</v>
          </cell>
          <cell r="F69"/>
        </row>
        <row r="70">
          <cell r="A70" t="str">
            <v>PM1390</v>
          </cell>
          <cell r="B70" t="str">
            <v>P008082400</v>
          </cell>
          <cell r="C70">
            <v>8.73</v>
          </cell>
          <cell r="D70">
            <v>17.5</v>
          </cell>
          <cell r="E70">
            <v>220</v>
          </cell>
          <cell r="F70"/>
        </row>
        <row r="71">
          <cell r="A71" t="str">
            <v>PM1400</v>
          </cell>
          <cell r="B71" t="str">
            <v>P008082420</v>
          </cell>
          <cell r="C71">
            <v>8.73</v>
          </cell>
          <cell r="D71">
            <v>17.5</v>
          </cell>
          <cell r="E71">
            <v>180</v>
          </cell>
          <cell r="F71"/>
        </row>
        <row r="72">
          <cell r="A72" t="str">
            <v>TA0390</v>
          </cell>
          <cell r="B72" t="str">
            <v>12268-942LL</v>
          </cell>
          <cell r="C72">
            <v>3.5</v>
          </cell>
          <cell r="D72">
            <v>7.5</v>
          </cell>
          <cell r="E72" t="str">
            <v>528±2</v>
          </cell>
          <cell r="F72"/>
        </row>
        <row r="73">
          <cell r="A73" t="str">
            <v>TA0400</v>
          </cell>
          <cell r="B73" t="str">
            <v>31434-0K030</v>
          </cell>
          <cell r="C73">
            <v>8.5</v>
          </cell>
          <cell r="D73">
            <v>17</v>
          </cell>
          <cell r="E73" t="str">
            <v>278±2</v>
          </cell>
          <cell r="F73"/>
        </row>
        <row r="74">
          <cell r="A74" t="str">
            <v>TA0570</v>
          </cell>
          <cell r="B74" t="str">
            <v>77213-0D170</v>
          </cell>
          <cell r="C74">
            <v>34</v>
          </cell>
          <cell r="D74">
            <v>44</v>
          </cell>
          <cell r="E74" t="str">
            <v>365±2</v>
          </cell>
          <cell r="F74"/>
        </row>
        <row r="75">
          <cell r="A75" t="str">
            <v>TA0580</v>
          </cell>
          <cell r="B75" t="str">
            <v>77269-0D100</v>
          </cell>
          <cell r="C75">
            <v>13.5</v>
          </cell>
          <cell r="D75">
            <v>21.5</v>
          </cell>
          <cell r="E75" t="str">
            <v>118±2</v>
          </cell>
          <cell r="F75"/>
        </row>
        <row r="76">
          <cell r="A76" t="str">
            <v>TA0590</v>
          </cell>
          <cell r="B76" t="str">
            <v>31434-0D030</v>
          </cell>
          <cell r="C76">
            <v>8.5</v>
          </cell>
          <cell r="D76">
            <v>17</v>
          </cell>
          <cell r="E76" t="str">
            <v>278±2</v>
          </cell>
          <cell r="F76"/>
        </row>
        <row r="77">
          <cell r="A77" t="str">
            <v>TA0600</v>
          </cell>
          <cell r="B77" t="str">
            <v>23827-0M100</v>
          </cell>
          <cell r="C77">
            <v>7</v>
          </cell>
          <cell r="D77">
            <v>14</v>
          </cell>
          <cell r="E77" t="str">
            <v>228±2</v>
          </cell>
          <cell r="F77"/>
        </row>
        <row r="78">
          <cell r="A78" t="str">
            <v>TA0610</v>
          </cell>
          <cell r="B78" t="str">
            <v xml:space="preserve">31434-0D040 </v>
          </cell>
          <cell r="C78">
            <v>8.5</v>
          </cell>
          <cell r="D78">
            <v>17</v>
          </cell>
          <cell r="E78" t="str">
            <v>338±2</v>
          </cell>
          <cell r="F78"/>
        </row>
        <row r="79">
          <cell r="A79" t="str">
            <v>TA0630</v>
          </cell>
          <cell r="B79" t="str">
            <v>77701-0D110</v>
          </cell>
          <cell r="C79">
            <v>9</v>
          </cell>
          <cell r="D79">
            <v>14</v>
          </cell>
          <cell r="E79" t="str">
            <v>620±2</v>
          </cell>
          <cell r="F79"/>
        </row>
        <row r="80">
          <cell r="A80" t="str">
            <v>TA0640</v>
          </cell>
          <cell r="B80" t="str">
            <v>77028-0D160</v>
          </cell>
          <cell r="C80">
            <v>7</v>
          </cell>
          <cell r="D80">
            <v>12</v>
          </cell>
          <cell r="E80" t="str">
            <v>605±2</v>
          </cell>
          <cell r="F80"/>
        </row>
        <row r="81">
          <cell r="A81" t="str">
            <v>TA1060</v>
          </cell>
          <cell r="B81" t="str">
            <v>17341-0C070</v>
          </cell>
          <cell r="C81">
            <v>24.5</v>
          </cell>
          <cell r="D81">
            <v>31.5</v>
          </cell>
          <cell r="E81" t="str">
            <v>338±2</v>
          </cell>
          <cell r="F81" t="str">
            <v>306-310</v>
          </cell>
        </row>
        <row r="82">
          <cell r="A82" t="str">
            <v>TA1080</v>
          </cell>
          <cell r="B82" t="str">
            <v>33019-0K010</v>
          </cell>
          <cell r="C82">
            <v>3.5</v>
          </cell>
          <cell r="D82">
            <v>7.5</v>
          </cell>
          <cell r="E82" t="str">
            <v>788±2</v>
          </cell>
          <cell r="F82"/>
        </row>
        <row r="83">
          <cell r="A83" t="str">
            <v>TA1120</v>
          </cell>
          <cell r="B83" t="str">
            <v>33019-0K110</v>
          </cell>
          <cell r="C83">
            <v>3.5</v>
          </cell>
          <cell r="D83">
            <v>7.5</v>
          </cell>
          <cell r="E83" t="str">
            <v>733±2</v>
          </cell>
          <cell r="F83"/>
        </row>
        <row r="84">
          <cell r="A84" t="str">
            <v>TA1140</v>
          </cell>
          <cell r="B84" t="str">
            <v>17342-0C070</v>
          </cell>
          <cell r="C84">
            <v>24.5</v>
          </cell>
          <cell r="D84">
            <v>31.5</v>
          </cell>
          <cell r="E84" t="str">
            <v>453±2</v>
          </cell>
          <cell r="F84" t="str">
            <v>418-422</v>
          </cell>
        </row>
        <row r="85">
          <cell r="A85" t="str">
            <v>TA1160</v>
          </cell>
          <cell r="B85" t="str">
            <v>33019-0K070</v>
          </cell>
          <cell r="C85">
            <v>3.5</v>
          </cell>
          <cell r="D85">
            <v>7.5</v>
          </cell>
          <cell r="E85" t="str">
            <v>603±2</v>
          </cell>
          <cell r="F85"/>
        </row>
        <row r="86">
          <cell r="A86" t="str">
            <v>TA1180</v>
          </cell>
          <cell r="B86" t="str">
            <v>17344-0C070</v>
          </cell>
          <cell r="C86">
            <v>18</v>
          </cell>
          <cell r="D86">
            <v>25</v>
          </cell>
          <cell r="E86" t="str">
            <v>738±2</v>
          </cell>
          <cell r="F86"/>
        </row>
        <row r="87">
          <cell r="A87" t="str">
            <v>TA1200</v>
          </cell>
          <cell r="B87" t="str">
            <v>33019-0K120</v>
          </cell>
          <cell r="C87">
            <v>3.5</v>
          </cell>
          <cell r="D87">
            <v>7.5</v>
          </cell>
          <cell r="E87" t="str">
            <v>618±2</v>
          </cell>
          <cell r="F87"/>
        </row>
        <row r="88">
          <cell r="A88" t="str">
            <v>TA1220</v>
          </cell>
          <cell r="B88" t="str">
            <v>17343-0C070</v>
          </cell>
          <cell r="C88">
            <v>18</v>
          </cell>
          <cell r="D88">
            <v>25</v>
          </cell>
          <cell r="E88" t="str">
            <v>363±2</v>
          </cell>
          <cell r="F88"/>
        </row>
        <row r="89">
          <cell r="A89" t="str">
            <v>TA1230</v>
          </cell>
          <cell r="B89" t="str">
            <v>77249-KK010</v>
          </cell>
          <cell r="C89">
            <v>5.4</v>
          </cell>
          <cell r="D89">
            <v>10.4</v>
          </cell>
          <cell r="E89" t="str">
            <v>490±2</v>
          </cell>
          <cell r="F89" t="str">
            <v>450-455</v>
          </cell>
        </row>
        <row r="90">
          <cell r="A90" t="str">
            <v>TA1400</v>
          </cell>
          <cell r="B90" t="str">
            <v>23829-0L010</v>
          </cell>
          <cell r="C90">
            <v>7</v>
          </cell>
          <cell r="D90">
            <v>12</v>
          </cell>
          <cell r="E90" t="str">
            <v>625±2</v>
          </cell>
          <cell r="F90" t="str">
            <v>516-520</v>
          </cell>
        </row>
        <row r="91">
          <cell r="A91" t="str">
            <v>TA1520</v>
          </cell>
          <cell r="B91" t="str">
            <v>23827-0C050</v>
          </cell>
          <cell r="C91">
            <v>7</v>
          </cell>
          <cell r="D91">
            <v>14</v>
          </cell>
          <cell r="E91" t="str">
            <v>357±2</v>
          </cell>
          <cell r="F91" t="str">
            <v>300-310</v>
          </cell>
        </row>
        <row r="92">
          <cell r="A92" t="str">
            <v>TA1530</v>
          </cell>
          <cell r="B92" t="str">
            <v>23829-0P190</v>
          </cell>
          <cell r="C92">
            <v>7</v>
          </cell>
          <cell r="D92">
            <v>12</v>
          </cell>
          <cell r="E92" t="str">
            <v>270±2</v>
          </cell>
          <cell r="F92" t="str">
            <v>220-224</v>
          </cell>
        </row>
        <row r="93">
          <cell r="A93" t="str">
            <v>TA166A</v>
          </cell>
          <cell r="B93" t="str">
            <v>12261-0Y041</v>
          </cell>
          <cell r="C93">
            <v>9</v>
          </cell>
          <cell r="D93">
            <v>17</v>
          </cell>
          <cell r="E93" t="str">
            <v>640±2</v>
          </cell>
          <cell r="F93" t="str">
            <v>590-594</v>
          </cell>
        </row>
        <row r="94">
          <cell r="A94" t="str">
            <v>TA1700</v>
          </cell>
          <cell r="B94" t="str">
            <v>GH319-46840-A</v>
          </cell>
          <cell r="C94">
            <v>13.5</v>
          </cell>
          <cell r="D94">
            <v>21.5</v>
          </cell>
          <cell r="E94" t="str">
            <v>138±2</v>
          </cell>
          <cell r="F94"/>
        </row>
        <row r="95">
          <cell r="A95" t="str">
            <v>TA1710</v>
          </cell>
          <cell r="B95" t="str">
            <v>GH319-47110</v>
          </cell>
          <cell r="C95">
            <v>7</v>
          </cell>
          <cell r="D95">
            <v>14</v>
          </cell>
          <cell r="E95" t="str">
            <v>143±2</v>
          </cell>
          <cell r="F95" t="str">
            <v>123-128</v>
          </cell>
        </row>
        <row r="96">
          <cell r="A96" t="str">
            <v>TA1750</v>
          </cell>
          <cell r="B96" t="str">
            <v>77249-KK020</v>
          </cell>
          <cell r="C96">
            <v>5.4</v>
          </cell>
          <cell r="D96">
            <v>10.4</v>
          </cell>
          <cell r="E96" t="str">
            <v>400±2</v>
          </cell>
          <cell r="F96"/>
        </row>
        <row r="97">
          <cell r="A97" t="str">
            <v>TA1760</v>
          </cell>
          <cell r="B97" t="str">
            <v>33019-0K180</v>
          </cell>
          <cell r="C97">
            <v>3.5</v>
          </cell>
          <cell r="D97">
            <v>7.5</v>
          </cell>
          <cell r="E97" t="str">
            <v>758±2</v>
          </cell>
          <cell r="F97"/>
        </row>
        <row r="98">
          <cell r="A98" t="str">
            <v>TA1820</v>
          </cell>
          <cell r="B98" t="str">
            <v>12262-0Y090</v>
          </cell>
          <cell r="C98">
            <v>15</v>
          </cell>
          <cell r="D98">
            <v>22</v>
          </cell>
          <cell r="E98" t="str">
            <v>448±2</v>
          </cell>
          <cell r="F98"/>
        </row>
        <row r="99">
          <cell r="A99" t="str">
            <v>TA1840</v>
          </cell>
          <cell r="B99" t="str">
            <v>23826-0Y040</v>
          </cell>
          <cell r="C99">
            <v>7</v>
          </cell>
          <cell r="D99">
            <v>12</v>
          </cell>
          <cell r="E99" t="str">
            <v>468±2</v>
          </cell>
          <cell r="F99"/>
        </row>
        <row r="100">
          <cell r="A100" t="str">
            <v>TA1850</v>
          </cell>
          <cell r="B100" t="str">
            <v>23827-0Y110</v>
          </cell>
          <cell r="C100">
            <v>7</v>
          </cell>
          <cell r="D100">
            <v>14</v>
          </cell>
          <cell r="E100" t="str">
            <v>370±2</v>
          </cell>
          <cell r="F100"/>
        </row>
        <row r="101">
          <cell r="A101" t="str">
            <v>TA1860</v>
          </cell>
          <cell r="B101" t="str">
            <v>31343-0D120</v>
          </cell>
          <cell r="C101">
            <v>8.5</v>
          </cell>
          <cell r="D101">
            <v>17</v>
          </cell>
          <cell r="E101" t="str">
            <v>325±2</v>
          </cell>
          <cell r="F101" t="str">
            <v>320-322</v>
          </cell>
        </row>
        <row r="102">
          <cell r="A102" t="str">
            <v>TA1970</v>
          </cell>
          <cell r="B102" t="str">
            <v>23827-0C060</v>
          </cell>
          <cell r="C102">
            <v>7</v>
          </cell>
          <cell r="D102">
            <v>14</v>
          </cell>
          <cell r="E102" t="str">
            <v>228±2</v>
          </cell>
          <cell r="F102"/>
        </row>
        <row r="103">
          <cell r="A103" t="str">
            <v>TA2040</v>
          </cell>
          <cell r="B103" t="str">
            <v>12262-0Y130</v>
          </cell>
          <cell r="C103">
            <v>15</v>
          </cell>
          <cell r="D103">
            <v>22</v>
          </cell>
          <cell r="E103" t="str">
            <v>288±2</v>
          </cell>
          <cell r="F103"/>
        </row>
        <row r="104">
          <cell r="A104" t="str">
            <v>TA2500</v>
          </cell>
          <cell r="B104" t="str">
            <v>23826-0Y340</v>
          </cell>
          <cell r="C104">
            <v>7</v>
          </cell>
          <cell r="D104">
            <v>14</v>
          </cell>
          <cell r="E104" t="str">
            <v>390±2</v>
          </cell>
          <cell r="F104"/>
        </row>
        <row r="105">
          <cell r="A105" t="str">
            <v>TA2510</v>
          </cell>
          <cell r="B105" t="str">
            <v>23827-0Y270</v>
          </cell>
          <cell r="C105">
            <v>7</v>
          </cell>
          <cell r="D105">
            <v>14</v>
          </cell>
          <cell r="E105" t="str">
            <v>340±2</v>
          </cell>
          <cell r="F105"/>
        </row>
        <row r="106">
          <cell r="A106" t="str">
            <v>TA2760</v>
          </cell>
          <cell r="B106" t="str">
            <v>23827-BZ130-H</v>
          </cell>
          <cell r="C106">
            <v>7</v>
          </cell>
          <cell r="D106">
            <v>14</v>
          </cell>
          <cell r="E106" t="str">
            <v>550±2</v>
          </cell>
          <cell r="F106"/>
        </row>
        <row r="107">
          <cell r="A107" t="str">
            <v>TA2960</v>
          </cell>
          <cell r="B107" t="str">
            <v>12261-BZ210-B</v>
          </cell>
          <cell r="C107">
            <v>9</v>
          </cell>
          <cell r="D107">
            <v>17</v>
          </cell>
          <cell r="E107" t="str">
            <v>555±2</v>
          </cell>
          <cell r="F107"/>
        </row>
        <row r="108">
          <cell r="A108" t="str">
            <v>TA2990</v>
          </cell>
          <cell r="B108" t="str">
            <v>12261-BZ310</v>
          </cell>
          <cell r="C108">
            <v>9</v>
          </cell>
          <cell r="D108">
            <v>17</v>
          </cell>
          <cell r="E108" t="str">
            <v>570±2</v>
          </cell>
          <cell r="F108" t="str">
            <v>505-509</v>
          </cell>
        </row>
        <row r="109">
          <cell r="A109" t="str">
            <v>TA3020</v>
          </cell>
          <cell r="B109" t="str">
            <v>31432-D03BL-1</v>
          </cell>
          <cell r="C109">
            <v>3.5</v>
          </cell>
          <cell r="D109">
            <v>7.5</v>
          </cell>
          <cell r="E109" t="str">
            <v>12±3</v>
          </cell>
          <cell r="F109"/>
        </row>
        <row r="110">
          <cell r="A110" t="str">
            <v>TA3030</v>
          </cell>
          <cell r="B110" t="str">
            <v>12261-BZ320-H</v>
          </cell>
          <cell r="C110">
            <v>9</v>
          </cell>
          <cell r="D110">
            <v>17</v>
          </cell>
          <cell r="E110" t="str">
            <v>735±2</v>
          </cell>
          <cell r="F110"/>
        </row>
        <row r="111">
          <cell r="A111" t="str">
            <v>TA3040</v>
          </cell>
          <cell r="B111" t="str">
            <v>12262-BZ230-H</v>
          </cell>
          <cell r="C111">
            <v>15</v>
          </cell>
          <cell r="D111">
            <v>22</v>
          </cell>
          <cell r="E111" t="str">
            <v>400±2</v>
          </cell>
          <cell r="F111"/>
        </row>
        <row r="112">
          <cell r="A112" t="str">
            <v>VL0010</v>
          </cell>
          <cell r="B112" t="str">
            <v>VL0010</v>
          </cell>
          <cell r="C112">
            <v>23</v>
          </cell>
          <cell r="D112">
            <v>27</v>
          </cell>
          <cell r="E112" t="str">
            <v>248±2</v>
          </cell>
          <cell r="F112"/>
        </row>
        <row r="113">
          <cell r="A113" t="str">
            <v>VL0020</v>
          </cell>
          <cell r="B113" t="str">
            <v>VL0020</v>
          </cell>
          <cell r="C113">
            <v>15</v>
          </cell>
          <cell r="D113">
            <v>19</v>
          </cell>
          <cell r="E113" t="str">
            <v>273±2</v>
          </cell>
          <cell r="F113"/>
        </row>
        <row r="114">
          <cell r="A114" t="str">
            <v>VL0030</v>
          </cell>
          <cell r="B114" t="str">
            <v>VL0030</v>
          </cell>
          <cell r="C114">
            <v>15.5</v>
          </cell>
          <cell r="D114">
            <v>19.5</v>
          </cell>
          <cell r="E114" t="str">
            <v>148±2</v>
          </cell>
          <cell r="F114"/>
        </row>
        <row r="115">
          <cell r="A115" t="str">
            <v>VL0040</v>
          </cell>
          <cell r="B115" t="str">
            <v>VL0040</v>
          </cell>
          <cell r="C115">
            <v>15.5</v>
          </cell>
          <cell r="D115">
            <v>19.5</v>
          </cell>
          <cell r="E115" t="str">
            <v>198±2</v>
          </cell>
          <cell r="F115"/>
        </row>
        <row r="116">
          <cell r="A116" t="str">
            <v>VL0050</v>
          </cell>
          <cell r="B116" t="str">
            <v>VL0050</v>
          </cell>
          <cell r="C116">
            <v>15</v>
          </cell>
          <cell r="D116">
            <v>19</v>
          </cell>
          <cell r="E116" t="str">
            <v>198±2</v>
          </cell>
          <cell r="F116"/>
        </row>
        <row r="117">
          <cell r="A117" t="str">
            <v>VL0060</v>
          </cell>
          <cell r="B117" t="str">
            <v>VL0060</v>
          </cell>
          <cell r="C117">
            <v>15</v>
          </cell>
          <cell r="D117">
            <v>19</v>
          </cell>
          <cell r="E117" t="str">
            <v>188±2</v>
          </cell>
          <cell r="F117"/>
        </row>
        <row r="118">
          <cell r="A118" t="str">
            <v>VL0070</v>
          </cell>
          <cell r="B118" t="str">
            <v>VL0070</v>
          </cell>
          <cell r="C118">
            <v>17</v>
          </cell>
          <cell r="D118">
            <v>20</v>
          </cell>
          <cell r="E118" t="str">
            <v>183±2</v>
          </cell>
          <cell r="F118"/>
        </row>
        <row r="119">
          <cell r="A119" t="str">
            <v>VL0080</v>
          </cell>
          <cell r="B119" t="str">
            <v>VL0080</v>
          </cell>
          <cell r="C119">
            <v>25.5</v>
          </cell>
          <cell r="D119">
            <v>29.5</v>
          </cell>
          <cell r="E119" t="str">
            <v>158±2</v>
          </cell>
          <cell r="F119"/>
        </row>
        <row r="120">
          <cell r="A120" t="str">
            <v>NA1420</v>
          </cell>
          <cell r="B120" t="str">
            <v>16572-BZ210</v>
          </cell>
          <cell r="C120">
            <v>24</v>
          </cell>
          <cell r="D120">
            <v>32</v>
          </cell>
          <cell r="E120">
            <v>635</v>
          </cell>
          <cell r="F120" t="str">
            <v>634±1</v>
          </cell>
        </row>
        <row r="121">
          <cell r="A121" t="str">
            <v>NA1430</v>
          </cell>
          <cell r="B121" t="str">
            <v>16571-BZ280</v>
          </cell>
          <cell r="C121">
            <v>31</v>
          </cell>
          <cell r="D121">
            <v>39</v>
          </cell>
          <cell r="E121">
            <v>406</v>
          </cell>
          <cell r="F121" t="str">
            <v>401±1</v>
          </cell>
        </row>
        <row r="122">
          <cell r="A122" t="str">
            <v>NA1440</v>
          </cell>
          <cell r="B122" t="str">
            <v>16571-BZ290</v>
          </cell>
          <cell r="C122">
            <v>31</v>
          </cell>
          <cell r="D122">
            <v>39</v>
          </cell>
          <cell r="E122">
            <v>425</v>
          </cell>
          <cell r="F122" t="str">
            <v>423±1</v>
          </cell>
        </row>
        <row r="123">
          <cell r="A123" t="str">
            <v>NA1450</v>
          </cell>
          <cell r="B123" t="str">
            <v>16572-BZ220</v>
          </cell>
          <cell r="C123">
            <v>30</v>
          </cell>
          <cell r="D123">
            <v>38</v>
          </cell>
          <cell r="E123">
            <v>570</v>
          </cell>
          <cell r="F123" t="str">
            <v>569±1</v>
          </cell>
        </row>
        <row r="124">
          <cell r="A124" t="str">
            <v>NA1460</v>
          </cell>
          <cell r="B124" t="str">
            <v>87246-BZ130</v>
          </cell>
          <cell r="C124">
            <v>13</v>
          </cell>
          <cell r="D124">
            <v>21</v>
          </cell>
          <cell r="E124">
            <v>248</v>
          </cell>
          <cell r="F124" t="str">
            <v>240±1</v>
          </cell>
        </row>
        <row r="125">
          <cell r="A125" t="str">
            <v>NA1470</v>
          </cell>
          <cell r="B125" t="str">
            <v>87245-BZ190</v>
          </cell>
          <cell r="C125">
            <v>13</v>
          </cell>
          <cell r="D125">
            <v>21</v>
          </cell>
          <cell r="E125">
            <v>230</v>
          </cell>
          <cell r="F125" t="str">
            <v>225±1</v>
          </cell>
        </row>
        <row r="126">
          <cell r="A126" t="str">
            <v>NA1480</v>
          </cell>
          <cell r="B126" t="str">
            <v>16571-BZ270</v>
          </cell>
          <cell r="C126">
            <v>24</v>
          </cell>
          <cell r="D126">
            <v>32</v>
          </cell>
          <cell r="E126">
            <v>450</v>
          </cell>
          <cell r="F126" t="str">
            <v>449±1</v>
          </cell>
        </row>
        <row r="127">
          <cell r="A127" t="str">
            <v>NA1580</v>
          </cell>
          <cell r="B127" t="str">
            <v>77213-BZ170</v>
          </cell>
          <cell r="C127">
            <v>34</v>
          </cell>
          <cell r="D127">
            <v>42</v>
          </cell>
          <cell r="E127">
            <v>342</v>
          </cell>
          <cell r="F127" t="str">
            <v>342±2</v>
          </cell>
        </row>
        <row r="128">
          <cell r="A128" t="str">
            <v>NA1610</v>
          </cell>
          <cell r="B128" t="str">
            <v>77213-BZ160</v>
          </cell>
          <cell r="C128">
            <v>34</v>
          </cell>
          <cell r="D128">
            <v>42</v>
          </cell>
          <cell r="E128">
            <v>342</v>
          </cell>
          <cell r="F128" t="str">
            <v>342±2</v>
          </cell>
        </row>
        <row r="129">
          <cell r="A129" t="str">
            <v>NA1830</v>
          </cell>
          <cell r="B129" t="str">
            <v>16267-BZ080</v>
          </cell>
          <cell r="C129">
            <v>16</v>
          </cell>
          <cell r="D129">
            <v>24</v>
          </cell>
          <cell r="E129">
            <v>369</v>
          </cell>
          <cell r="F129" t="str">
            <v>365±1</v>
          </cell>
        </row>
        <row r="130">
          <cell r="A130" t="str">
            <v>NA1840</v>
          </cell>
          <cell r="B130" t="str">
            <v>16261-BZ550</v>
          </cell>
          <cell r="C130">
            <v>7.5</v>
          </cell>
          <cell r="D130">
            <v>14.5</v>
          </cell>
          <cell r="E130">
            <v>680</v>
          </cell>
          <cell r="F130" t="str">
            <v>669±4</v>
          </cell>
        </row>
        <row r="131">
          <cell r="A131" t="str">
            <v>NA1850</v>
          </cell>
          <cell r="B131" t="str">
            <v>16281-BZ070</v>
          </cell>
          <cell r="C131">
            <v>21</v>
          </cell>
          <cell r="D131">
            <v>29</v>
          </cell>
          <cell r="E131">
            <v>148</v>
          </cell>
          <cell r="F131" t="str">
            <v>140±1</v>
          </cell>
        </row>
        <row r="132">
          <cell r="A132" t="str">
            <v>NA1860</v>
          </cell>
          <cell r="B132" t="str">
            <v>16571-BZ390</v>
          </cell>
          <cell r="C132">
            <v>30.4</v>
          </cell>
          <cell r="D132">
            <v>38.4</v>
          </cell>
          <cell r="E132">
            <v>181</v>
          </cell>
          <cell r="F132" t="str">
            <v>180±1</v>
          </cell>
        </row>
        <row r="133">
          <cell r="A133" t="str">
            <v>NA1870</v>
          </cell>
          <cell r="B133" t="str">
            <v>16264-BZ220</v>
          </cell>
          <cell r="C133">
            <v>13</v>
          </cell>
          <cell r="D133">
            <v>21</v>
          </cell>
          <cell r="E133">
            <v>805</v>
          </cell>
          <cell r="F133" t="str">
            <v>799±1</v>
          </cell>
        </row>
        <row r="134">
          <cell r="A134" t="str">
            <v>NA1880</v>
          </cell>
          <cell r="B134" t="str">
            <v>16261-BZ560</v>
          </cell>
          <cell r="C134">
            <v>13</v>
          </cell>
          <cell r="D134">
            <v>21</v>
          </cell>
          <cell r="E134">
            <v>366</v>
          </cell>
          <cell r="F134" t="str">
            <v>360±1</v>
          </cell>
        </row>
        <row r="135">
          <cell r="A135" t="str">
            <v>NA1890</v>
          </cell>
          <cell r="B135" t="str">
            <v>87246-BZ220</v>
          </cell>
          <cell r="C135">
            <v>13</v>
          </cell>
          <cell r="D135">
            <v>21</v>
          </cell>
          <cell r="E135">
            <v>498</v>
          </cell>
          <cell r="F135" t="str">
            <v>491±1</v>
          </cell>
        </row>
        <row r="136">
          <cell r="A136" t="str">
            <v>NA1900</v>
          </cell>
          <cell r="B136" t="str">
            <v>87246-BZ310</v>
          </cell>
          <cell r="C136">
            <v>13</v>
          </cell>
          <cell r="D136">
            <v>21</v>
          </cell>
          <cell r="E136">
            <v>445</v>
          </cell>
          <cell r="F136" t="str">
            <v>438±1</v>
          </cell>
        </row>
        <row r="137">
          <cell r="A137" t="str">
            <v>NA1910</v>
          </cell>
          <cell r="B137" t="str">
            <v>87245-BZ280</v>
          </cell>
          <cell r="C137">
            <v>13</v>
          </cell>
          <cell r="D137">
            <v>21</v>
          </cell>
          <cell r="E137">
            <v>363</v>
          </cell>
          <cell r="F137" t="str">
            <v>356±1</v>
          </cell>
        </row>
        <row r="138">
          <cell r="A138" t="str">
            <v>NA1920</v>
          </cell>
          <cell r="B138" t="str">
            <v>87245-BZ370</v>
          </cell>
          <cell r="C138">
            <v>13</v>
          </cell>
          <cell r="D138">
            <v>21</v>
          </cell>
          <cell r="E138">
            <v>420</v>
          </cell>
          <cell r="F138" t="str">
            <v>413±1</v>
          </cell>
        </row>
        <row r="139">
          <cell r="A139" t="str">
            <v>NA2090</v>
          </cell>
          <cell r="B139" t="str">
            <v>16261-BZ610-J</v>
          </cell>
          <cell r="C139">
            <v>13</v>
          </cell>
          <cell r="D139">
            <v>21</v>
          </cell>
          <cell r="E139">
            <v>508</v>
          </cell>
          <cell r="F139" t="str">
            <v>501±1</v>
          </cell>
        </row>
        <row r="140">
          <cell r="A140" t="str">
            <v>NA2100</v>
          </cell>
          <cell r="B140" t="str">
            <v>16264-BZ310-J</v>
          </cell>
          <cell r="C140">
            <v>13</v>
          </cell>
          <cell r="D140">
            <v>21</v>
          </cell>
          <cell r="E140">
            <v>298</v>
          </cell>
          <cell r="F140" t="str">
            <v>291±1</v>
          </cell>
        </row>
        <row r="141">
          <cell r="A141" t="str">
            <v>NA2150</v>
          </cell>
          <cell r="B141" t="str">
            <v>87245-BZ290-K</v>
          </cell>
          <cell r="C141">
            <v>13</v>
          </cell>
          <cell r="D141">
            <v>21</v>
          </cell>
          <cell r="E141">
            <v>476</v>
          </cell>
          <cell r="F141" t="str">
            <v>472±1</v>
          </cell>
        </row>
        <row r="142">
          <cell r="A142" t="str">
            <v>NA2180</v>
          </cell>
          <cell r="B142" t="str">
            <v>87245-BZ300-J</v>
          </cell>
          <cell r="C142">
            <v>16</v>
          </cell>
          <cell r="D142">
            <v>24</v>
          </cell>
          <cell r="E142">
            <v>193</v>
          </cell>
          <cell r="F142" t="str">
            <v>186±1</v>
          </cell>
        </row>
        <row r="143">
          <cell r="A143" t="str">
            <v>NA2190</v>
          </cell>
          <cell r="B143" t="str">
            <v>87245-BZ310-H</v>
          </cell>
          <cell r="C143">
            <v>13</v>
          </cell>
          <cell r="D143">
            <v>21</v>
          </cell>
          <cell r="E143">
            <v>448</v>
          </cell>
          <cell r="F143" t="str">
            <v>441±1</v>
          </cell>
        </row>
        <row r="144">
          <cell r="A144" t="str">
            <v>NA2200</v>
          </cell>
          <cell r="B144" t="str">
            <v>87246-BZ250-H</v>
          </cell>
          <cell r="C144">
            <v>13</v>
          </cell>
          <cell r="D144">
            <v>21</v>
          </cell>
          <cell r="E144">
            <v>396</v>
          </cell>
          <cell r="F144" t="str">
            <v>389±1</v>
          </cell>
        </row>
        <row r="145">
          <cell r="A145" t="str">
            <v>NA2210</v>
          </cell>
          <cell r="B145" t="str">
            <v>87245-BZ330-K</v>
          </cell>
          <cell r="C145">
            <v>13</v>
          </cell>
          <cell r="D145">
            <v>21</v>
          </cell>
          <cell r="E145">
            <v>611</v>
          </cell>
          <cell r="F145" t="str">
            <v>604±1</v>
          </cell>
        </row>
        <row r="146">
          <cell r="A146" t="str">
            <v>NA2230</v>
          </cell>
          <cell r="B146" t="str">
            <v>87245-BZ340-H</v>
          </cell>
          <cell r="C146">
            <v>13</v>
          </cell>
          <cell r="D146">
            <v>21</v>
          </cell>
          <cell r="E146">
            <v>646</v>
          </cell>
          <cell r="F146" t="str">
            <v>639±1</v>
          </cell>
        </row>
        <row r="147">
          <cell r="A147" t="str">
            <v>NA2240</v>
          </cell>
          <cell r="B147" t="str">
            <v>87245-BZ350-H</v>
          </cell>
          <cell r="C147">
            <v>13</v>
          </cell>
          <cell r="D147">
            <v>21</v>
          </cell>
          <cell r="E147">
            <v>503</v>
          </cell>
          <cell r="F147" t="str">
            <v>496±1</v>
          </cell>
        </row>
        <row r="148">
          <cell r="A148" t="str">
            <v>NA2250</v>
          </cell>
          <cell r="B148" t="str">
            <v>87246-BZ290-H</v>
          </cell>
          <cell r="C148">
            <v>13</v>
          </cell>
          <cell r="D148">
            <v>21</v>
          </cell>
          <cell r="E148">
            <v>456</v>
          </cell>
          <cell r="F148" t="str">
            <v>448±1</v>
          </cell>
        </row>
        <row r="149">
          <cell r="A149" t="str">
            <v>NA2320</v>
          </cell>
          <cell r="B149" t="str">
            <v>87246-BZ240-H</v>
          </cell>
          <cell r="C149">
            <v>13</v>
          </cell>
          <cell r="D149">
            <v>21</v>
          </cell>
          <cell r="E149">
            <v>399</v>
          </cell>
          <cell r="F149" t="str">
            <v>392±1</v>
          </cell>
        </row>
        <row r="150">
          <cell r="A150" t="str">
            <v>NA2330</v>
          </cell>
          <cell r="B150" t="str">
            <v>87246-BZ280-H</v>
          </cell>
          <cell r="C150">
            <v>13</v>
          </cell>
          <cell r="D150">
            <v>21</v>
          </cell>
          <cell r="E150">
            <v>498</v>
          </cell>
          <cell r="F150" t="str">
            <v>491±1</v>
          </cell>
        </row>
        <row r="151">
          <cell r="A151" t="str">
            <v>NA2400</v>
          </cell>
          <cell r="B151" t="str">
            <v>87245-BZ290-K</v>
          </cell>
          <cell r="C151">
            <v>13</v>
          </cell>
          <cell r="D151">
            <v>21</v>
          </cell>
          <cell r="E151">
            <v>476</v>
          </cell>
          <cell r="F151" t="str">
            <v>475±1</v>
          </cell>
        </row>
        <row r="152">
          <cell r="A152" t="str">
            <v>NA2410</v>
          </cell>
          <cell r="B152" t="str">
            <v>87245-BZ330-K</v>
          </cell>
          <cell r="C152">
            <v>13</v>
          </cell>
          <cell r="D152">
            <v>21</v>
          </cell>
          <cell r="E152">
            <v>611</v>
          </cell>
          <cell r="F152" t="str">
            <v>604±1</v>
          </cell>
        </row>
        <row r="153">
          <cell r="A153" t="str">
            <v>NA2630</v>
          </cell>
          <cell r="B153" t="str">
            <v>16264-BZ320-H</v>
          </cell>
          <cell r="C153">
            <v>16</v>
          </cell>
          <cell r="D153">
            <v>24</v>
          </cell>
          <cell r="E153">
            <v>248</v>
          </cell>
          <cell r="F153" t="str">
            <v>244±1</v>
          </cell>
        </row>
        <row r="154">
          <cell r="A154" t="str">
            <v>NA2680</v>
          </cell>
          <cell r="B154" t="str">
            <v>16261-BZ660-H</v>
          </cell>
          <cell r="C154">
            <v>16</v>
          </cell>
          <cell r="D154">
            <v>24</v>
          </cell>
          <cell r="E154">
            <v>392</v>
          </cell>
          <cell r="F154" t="str">
            <v>388±1</v>
          </cell>
        </row>
        <row r="155">
          <cell r="A155" t="str">
            <v>NA2720</v>
          </cell>
          <cell r="B155" t="str">
            <v>16267-BZ210-H</v>
          </cell>
          <cell r="C155">
            <v>7.5</v>
          </cell>
          <cell r="D155">
            <v>14.5</v>
          </cell>
          <cell r="E155">
            <v>95</v>
          </cell>
          <cell r="F155" t="str">
            <v>94±1</v>
          </cell>
        </row>
        <row r="156">
          <cell r="A156" t="str">
            <v>NA2740</v>
          </cell>
          <cell r="B156" t="str">
            <v>16264-BZ320-H</v>
          </cell>
          <cell r="C156">
            <v>16</v>
          </cell>
          <cell r="D156">
            <v>24</v>
          </cell>
          <cell r="E156">
            <v>248</v>
          </cell>
          <cell r="F156" t="str">
            <v>244±1</v>
          </cell>
        </row>
        <row r="157">
          <cell r="A157" t="str">
            <v>NA2750</v>
          </cell>
          <cell r="B157" t="str">
            <v>16261-BZ650-H</v>
          </cell>
          <cell r="C157">
            <v>16</v>
          </cell>
          <cell r="D157">
            <v>24</v>
          </cell>
          <cell r="E157">
            <v>258</v>
          </cell>
          <cell r="F157" t="str">
            <v>254±1</v>
          </cell>
        </row>
        <row r="158">
          <cell r="A158" t="str">
            <v>NA2770</v>
          </cell>
          <cell r="B158" t="str">
            <v>16261-BZ600-J</v>
          </cell>
          <cell r="C158">
            <v>13</v>
          </cell>
          <cell r="D158">
            <v>21</v>
          </cell>
          <cell r="E158">
            <v>326</v>
          </cell>
          <cell r="F158" t="str">
            <v>319±1</v>
          </cell>
        </row>
        <row r="159">
          <cell r="A159" t="str">
            <v>NA2800</v>
          </cell>
          <cell r="B159" t="str">
            <v>16264-BZ230-H</v>
          </cell>
          <cell r="C159">
            <v>13</v>
          </cell>
          <cell r="D159">
            <v>21</v>
          </cell>
          <cell r="E159">
            <v>295</v>
          </cell>
          <cell r="F159" t="str">
            <v>293±1</v>
          </cell>
        </row>
        <row r="160">
          <cell r="A160" t="str">
            <v>NA2830</v>
          </cell>
          <cell r="B160" t="str">
            <v>16261-BZ430-H</v>
          </cell>
          <cell r="C160">
            <v>13</v>
          </cell>
          <cell r="D160">
            <v>21</v>
          </cell>
          <cell r="E160">
            <v>381</v>
          </cell>
          <cell r="F160" t="str">
            <v>374±1</v>
          </cell>
        </row>
        <row r="161">
          <cell r="A161" t="str">
            <v>NA2900</v>
          </cell>
          <cell r="B161" t="str">
            <v>77213-BZ250-H</v>
          </cell>
          <cell r="C161">
            <v>34</v>
          </cell>
          <cell r="D161">
            <v>42</v>
          </cell>
          <cell r="E161">
            <v>310</v>
          </cell>
          <cell r="F161" t="str">
            <v>308±1</v>
          </cell>
        </row>
        <row r="162">
          <cell r="A162" t="str">
            <v>NA2920</v>
          </cell>
          <cell r="B162" t="str">
            <v>87245-BZ380-H</v>
          </cell>
          <cell r="C162">
            <v>13</v>
          </cell>
          <cell r="D162">
            <v>21</v>
          </cell>
          <cell r="E162">
            <v>743</v>
          </cell>
          <cell r="F162" t="str">
            <v>734±1</v>
          </cell>
        </row>
        <row r="163">
          <cell r="A163" t="str">
            <v>NA2930</v>
          </cell>
          <cell r="B163" t="str">
            <v>87245-BZ390-H</v>
          </cell>
          <cell r="C163">
            <v>13</v>
          </cell>
          <cell r="D163">
            <v>21</v>
          </cell>
          <cell r="E163">
            <v>843</v>
          </cell>
          <cell r="F163" t="str">
            <v>838±5</v>
          </cell>
        </row>
        <row r="164">
          <cell r="A164" t="str">
            <v>NA2950</v>
          </cell>
          <cell r="B164" t="str">
            <v>87245-BZ410-H</v>
          </cell>
          <cell r="C164">
            <v>13</v>
          </cell>
          <cell r="D164">
            <v>21</v>
          </cell>
          <cell r="E164">
            <v>858</v>
          </cell>
          <cell r="F164" t="str">
            <v>849±1</v>
          </cell>
        </row>
        <row r="165">
          <cell r="A165" t="str">
            <v>NA2960</v>
          </cell>
          <cell r="B165" t="str">
            <v>87246-BZ320-H</v>
          </cell>
          <cell r="C165">
            <v>13</v>
          </cell>
          <cell r="D165">
            <v>21</v>
          </cell>
          <cell r="E165">
            <v>391</v>
          </cell>
          <cell r="F165" t="str">
            <v>384±1</v>
          </cell>
        </row>
        <row r="166">
          <cell r="A166" t="str">
            <v>NA2970</v>
          </cell>
          <cell r="B166" t="str">
            <v>87246-BZ330-H</v>
          </cell>
          <cell r="C166">
            <v>13</v>
          </cell>
          <cell r="D166">
            <v>21</v>
          </cell>
          <cell r="E166">
            <v>461</v>
          </cell>
          <cell r="F166" t="str">
            <v>454±1</v>
          </cell>
        </row>
        <row r="167">
          <cell r="A167" t="str">
            <v>NA2980</v>
          </cell>
          <cell r="B167" t="str">
            <v>87246-BZ350-H</v>
          </cell>
          <cell r="C167">
            <v>13</v>
          </cell>
          <cell r="D167">
            <v>21</v>
          </cell>
          <cell r="E167">
            <v>579</v>
          </cell>
          <cell r="F167" t="str">
            <v>570±1</v>
          </cell>
        </row>
        <row r="168">
          <cell r="A168" t="str">
            <v>NA3000 (1)</v>
          </cell>
          <cell r="B168" t="str">
            <v>16261-BZ660-H</v>
          </cell>
          <cell r="C168">
            <v>16</v>
          </cell>
          <cell r="D168">
            <v>24</v>
          </cell>
          <cell r="E168">
            <v>392</v>
          </cell>
          <cell r="F168" t="str">
            <v>388±1</v>
          </cell>
        </row>
        <row r="169">
          <cell r="A169" t="str">
            <v>NA3000 (2)</v>
          </cell>
          <cell r="B169" t="str">
            <v>16264-BZ320-H</v>
          </cell>
          <cell r="C169">
            <v>16</v>
          </cell>
          <cell r="D169">
            <v>24</v>
          </cell>
          <cell r="E169">
            <v>248</v>
          </cell>
          <cell r="F169" t="str">
            <v>244±1</v>
          </cell>
        </row>
        <row r="170">
          <cell r="A170" t="str">
            <v>NA3030 (1)</v>
          </cell>
          <cell r="B170" t="str">
            <v>16261-BZ650-H</v>
          </cell>
          <cell r="C170">
            <v>16</v>
          </cell>
          <cell r="D170">
            <v>24</v>
          </cell>
          <cell r="E170">
            <v>258</v>
          </cell>
          <cell r="F170" t="str">
            <v>254±1</v>
          </cell>
        </row>
        <row r="171">
          <cell r="A171" t="str">
            <v>NA3030 (2)</v>
          </cell>
          <cell r="B171" t="str">
            <v>16267-BZ210-H</v>
          </cell>
          <cell r="C171">
            <v>7.5</v>
          </cell>
          <cell r="D171">
            <v>14.5</v>
          </cell>
          <cell r="E171">
            <v>95</v>
          </cell>
          <cell r="F171" t="str">
            <v>94±1</v>
          </cell>
        </row>
        <row r="172">
          <cell r="A172" t="str">
            <v>NA3040</v>
          </cell>
          <cell r="B172" t="str">
            <v>16264-BZ320-H</v>
          </cell>
          <cell r="C172">
            <v>16</v>
          </cell>
          <cell r="D172">
            <v>24</v>
          </cell>
          <cell r="E172">
            <v>248</v>
          </cell>
          <cell r="F172" t="str">
            <v>244±1</v>
          </cell>
        </row>
        <row r="173">
          <cell r="A173" t="str">
            <v>NA3070</v>
          </cell>
          <cell r="B173" t="str">
            <v>87246-BZ370-H</v>
          </cell>
          <cell r="C173">
            <v>13</v>
          </cell>
          <cell r="D173">
            <v>21</v>
          </cell>
          <cell r="E173">
            <v>568</v>
          </cell>
          <cell r="F173" t="str">
            <v>563±1</v>
          </cell>
        </row>
        <row r="174">
          <cell r="A174" t="str">
            <v>NA3080</v>
          </cell>
          <cell r="B174" t="str">
            <v>16572-BZ420-H</v>
          </cell>
          <cell r="C174">
            <v>26.5</v>
          </cell>
          <cell r="D174">
            <v>34.5</v>
          </cell>
          <cell r="E174">
            <v>680</v>
          </cell>
          <cell r="F174" t="str">
            <v>670±1</v>
          </cell>
        </row>
        <row r="175">
          <cell r="A175" t="str">
            <v>NA3090</v>
          </cell>
          <cell r="B175" t="str">
            <v>87245-BZ430-H</v>
          </cell>
          <cell r="C175">
            <v>13</v>
          </cell>
          <cell r="D175">
            <v>21</v>
          </cell>
          <cell r="E175">
            <v>400</v>
          </cell>
          <cell r="F175" t="str">
            <v>395±1</v>
          </cell>
        </row>
        <row r="176">
          <cell r="A176" t="str">
            <v>NA3100</v>
          </cell>
          <cell r="B176" t="str">
            <v>16572-BZ430-H</v>
          </cell>
          <cell r="C176">
            <v>26.5</v>
          </cell>
          <cell r="D176">
            <v>34.5</v>
          </cell>
          <cell r="E176">
            <v>640</v>
          </cell>
          <cell r="F176" t="str">
            <v>628±1</v>
          </cell>
        </row>
        <row r="177">
          <cell r="A177" t="str">
            <v>NA3110</v>
          </cell>
          <cell r="B177" t="str">
            <v>87245-BZ30-H</v>
          </cell>
          <cell r="C177">
            <v>26.5</v>
          </cell>
          <cell r="D177">
            <v>34.5</v>
          </cell>
          <cell r="E177">
            <v>640</v>
          </cell>
          <cell r="F177" t="str">
            <v>638±1</v>
          </cell>
        </row>
        <row r="178">
          <cell r="A178" t="str">
            <v>NA3120</v>
          </cell>
          <cell r="B178" t="str">
            <v>87245-BZ450-H</v>
          </cell>
          <cell r="C178">
            <v>13</v>
          </cell>
          <cell r="D178">
            <v>21</v>
          </cell>
          <cell r="E178">
            <v>404</v>
          </cell>
          <cell r="F178" t="str">
            <v>401±1</v>
          </cell>
        </row>
        <row r="179">
          <cell r="A179" t="str">
            <v>NA3150</v>
          </cell>
          <cell r="B179" t="str">
            <v>87246-BZ390H</v>
          </cell>
          <cell r="C179">
            <v>13</v>
          </cell>
          <cell r="D179">
            <v>21</v>
          </cell>
          <cell r="E179">
            <v>615</v>
          </cell>
          <cell r="F179" t="str">
            <v>612±1</v>
          </cell>
        </row>
        <row r="180">
          <cell r="A180" t="str">
            <v>NA3280</v>
          </cell>
          <cell r="B180" t="str">
            <v>87246-BZ300-H</v>
          </cell>
          <cell r="C180">
            <v>13</v>
          </cell>
          <cell r="D180">
            <v>21</v>
          </cell>
          <cell r="E180">
            <v>664</v>
          </cell>
          <cell r="F180" t="str">
            <v>660±1</v>
          </cell>
        </row>
        <row r="181">
          <cell r="A181" t="str">
            <v>NA3291</v>
          </cell>
          <cell r="B181" t="str">
            <v>87246-BZ450-H</v>
          </cell>
          <cell r="C181">
            <v>13</v>
          </cell>
          <cell r="D181">
            <v>21</v>
          </cell>
          <cell r="E181">
            <v>259</v>
          </cell>
          <cell r="F181" t="str">
            <v>255±1</v>
          </cell>
        </row>
        <row r="182">
          <cell r="A182" t="str">
            <v>HN0300</v>
          </cell>
          <cell r="B182" t="str">
            <v>44348-E0160</v>
          </cell>
          <cell r="C182">
            <v>19</v>
          </cell>
          <cell r="D182">
            <v>21</v>
          </cell>
          <cell r="E182">
            <v>1000</v>
          </cell>
          <cell r="F182" t="str">
            <v>995±1</v>
          </cell>
        </row>
        <row r="183">
          <cell r="A183" t="str">
            <v>NA3292</v>
          </cell>
          <cell r="B183" t="str">
            <v>87246-BZ460-H</v>
          </cell>
          <cell r="C183">
            <v>13</v>
          </cell>
          <cell r="D183">
            <v>21</v>
          </cell>
          <cell r="E183">
            <v>531</v>
          </cell>
          <cell r="F183" t="str">
            <v>527±1</v>
          </cell>
        </row>
        <row r="184">
          <cell r="A184" t="str">
            <v>NA3300</v>
          </cell>
          <cell r="B184" t="str">
            <v>87209-BZ180-H</v>
          </cell>
          <cell r="C184">
            <v>13</v>
          </cell>
          <cell r="D184">
            <v>21</v>
          </cell>
          <cell r="E184">
            <v>664</v>
          </cell>
          <cell r="F184" t="str">
            <v>660±1</v>
          </cell>
        </row>
        <row r="185">
          <cell r="A185" t="str">
            <v>NA3301</v>
          </cell>
          <cell r="B185" t="str">
            <v>87245-BZ360-H</v>
          </cell>
          <cell r="C185">
            <v>13</v>
          </cell>
          <cell r="D185">
            <v>21</v>
          </cell>
          <cell r="E185">
            <v>614</v>
          </cell>
          <cell r="F185" t="str">
            <v>610±1</v>
          </cell>
        </row>
        <row r="186">
          <cell r="A186" t="str">
            <v>NA3320</v>
          </cell>
          <cell r="B186" t="str">
            <v>16264-BZ400-H</v>
          </cell>
          <cell r="C186">
            <v>13</v>
          </cell>
          <cell r="D186">
            <v>21</v>
          </cell>
          <cell r="E186">
            <v>354</v>
          </cell>
          <cell r="F186" t="str">
            <v>351±1</v>
          </cell>
        </row>
        <row r="187">
          <cell r="A187" t="str">
            <v>NA3330</v>
          </cell>
          <cell r="B187" t="str">
            <v>16280-BZ080</v>
          </cell>
          <cell r="C187">
            <v>7.5</v>
          </cell>
          <cell r="D187">
            <v>14.5</v>
          </cell>
          <cell r="E187">
            <v>112</v>
          </cell>
          <cell r="F187" t="str">
            <v>110±1</v>
          </cell>
        </row>
        <row r="188">
          <cell r="A188" t="str">
            <v>NA3340</v>
          </cell>
          <cell r="B188" t="str">
            <v>12263-BZ010</v>
          </cell>
          <cell r="C188">
            <v>11</v>
          </cell>
          <cell r="D188">
            <v>18</v>
          </cell>
          <cell r="E188">
            <v>396</v>
          </cell>
          <cell r="F188" t="str">
            <v>385±1</v>
          </cell>
        </row>
        <row r="189">
          <cell r="A189" t="str">
            <v>NA3370</v>
          </cell>
          <cell r="B189" t="str">
            <v>87246--BZ490-K</v>
          </cell>
          <cell r="C189">
            <v>13</v>
          </cell>
          <cell r="D189">
            <v>21</v>
          </cell>
          <cell r="E189">
            <v>165</v>
          </cell>
          <cell r="F189" t="str">
            <v>161±1</v>
          </cell>
        </row>
        <row r="190">
          <cell r="A190" t="str">
            <v>PM1110</v>
          </cell>
          <cell r="B190" t="str">
            <v>89751-76860</v>
          </cell>
          <cell r="C190">
            <v>37</v>
          </cell>
          <cell r="D190">
            <v>47</v>
          </cell>
          <cell r="E190">
            <v>420</v>
          </cell>
          <cell r="F190" t="str">
            <v>418±1</v>
          </cell>
        </row>
        <row r="191">
          <cell r="A191" t="str">
            <v>PM1220</v>
          </cell>
          <cell r="B191">
            <v>8982058730</v>
          </cell>
          <cell r="C191">
            <v>11</v>
          </cell>
          <cell r="D191">
            <v>19.5</v>
          </cell>
          <cell r="E191">
            <v>420</v>
          </cell>
          <cell r="F191" t="str">
            <v>405±1</v>
          </cell>
        </row>
        <row r="192">
          <cell r="A192" t="str">
            <v>PM1230</v>
          </cell>
          <cell r="B192">
            <v>8982058730</v>
          </cell>
          <cell r="C192">
            <v>37</v>
          </cell>
          <cell r="D192">
            <v>47</v>
          </cell>
          <cell r="E192">
            <v>437</v>
          </cell>
          <cell r="F192" t="str">
            <v>430±1</v>
          </cell>
        </row>
        <row r="193">
          <cell r="A193" t="str">
            <v>PM1270</v>
          </cell>
          <cell r="B193">
            <v>8976560150</v>
          </cell>
          <cell r="C193">
            <v>37</v>
          </cell>
          <cell r="D193">
            <v>47</v>
          </cell>
          <cell r="E193">
            <v>384</v>
          </cell>
          <cell r="F193" t="str">
            <v>382±1</v>
          </cell>
        </row>
        <row r="194">
          <cell r="A194" t="str">
            <v>PM1280</v>
          </cell>
          <cell r="B194">
            <v>8976560180</v>
          </cell>
          <cell r="C194">
            <v>37</v>
          </cell>
          <cell r="D194">
            <v>47</v>
          </cell>
          <cell r="E194">
            <v>509</v>
          </cell>
          <cell r="F194" t="str">
            <v>508±1</v>
          </cell>
        </row>
        <row r="195">
          <cell r="A195" t="str">
            <v>PM1430</v>
          </cell>
          <cell r="B195">
            <v>8982356362</v>
          </cell>
          <cell r="C195">
            <v>21</v>
          </cell>
          <cell r="D195">
            <v>29</v>
          </cell>
          <cell r="E195">
            <v>215</v>
          </cell>
          <cell r="F195" t="str">
            <v>213±2</v>
          </cell>
        </row>
        <row r="196">
          <cell r="A196" t="str">
            <v>TA0570</v>
          </cell>
          <cell r="B196" t="str">
            <v>77213-0D170</v>
          </cell>
          <cell r="C196">
            <v>34</v>
          </cell>
          <cell r="D196">
            <v>44</v>
          </cell>
          <cell r="E196">
            <v>366</v>
          </cell>
          <cell r="F196" t="str">
            <v>366±2</v>
          </cell>
        </row>
        <row r="197">
          <cell r="A197" t="str">
            <v>TA1040</v>
          </cell>
          <cell r="B197" t="str">
            <v>16281-0C010</v>
          </cell>
          <cell r="C197">
            <v>13</v>
          </cell>
          <cell r="D197">
            <v>21</v>
          </cell>
          <cell r="E197">
            <v>281</v>
          </cell>
          <cell r="F197" t="str">
            <v>274±1</v>
          </cell>
        </row>
        <row r="198">
          <cell r="A198" t="str">
            <v>TA1050</v>
          </cell>
          <cell r="B198" t="str">
            <v>16282-0C010</v>
          </cell>
          <cell r="C198">
            <v>13</v>
          </cell>
          <cell r="D198">
            <v>21</v>
          </cell>
          <cell r="E198">
            <v>206</v>
          </cell>
          <cell r="F198" t="str">
            <v>199±1</v>
          </cell>
        </row>
        <row r="199">
          <cell r="A199" t="str">
            <v>TA1330</v>
          </cell>
          <cell r="B199" t="str">
            <v>16261-0L091</v>
          </cell>
          <cell r="C199">
            <v>11</v>
          </cell>
          <cell r="D199">
            <v>18</v>
          </cell>
          <cell r="E199">
            <v>191</v>
          </cell>
          <cell r="F199" t="str">
            <v>187±1</v>
          </cell>
        </row>
        <row r="200">
          <cell r="A200" t="str">
            <v>TA1340</v>
          </cell>
          <cell r="B200" t="str">
            <v>16571-0P300</v>
          </cell>
          <cell r="C200">
            <v>33</v>
          </cell>
          <cell r="D200">
            <v>42</v>
          </cell>
          <cell r="E200">
            <v>305</v>
          </cell>
          <cell r="F200" t="str">
            <v>304±1</v>
          </cell>
        </row>
        <row r="201">
          <cell r="A201" t="str">
            <v>TA1350</v>
          </cell>
          <cell r="B201" t="str">
            <v>16572-0P300</v>
          </cell>
          <cell r="C201">
            <v>33</v>
          </cell>
          <cell r="D201">
            <v>42</v>
          </cell>
          <cell r="E201">
            <v>750</v>
          </cell>
          <cell r="F201" t="str">
            <v>749±1</v>
          </cell>
        </row>
        <row r="202">
          <cell r="A202" t="str">
            <v>TA1420</v>
          </cell>
          <cell r="B202" t="str">
            <v>16571-0C140</v>
          </cell>
          <cell r="C202">
            <v>33</v>
          </cell>
          <cell r="D202">
            <v>42</v>
          </cell>
          <cell r="E202">
            <v>481</v>
          </cell>
          <cell r="F202" t="str">
            <v>480±1</v>
          </cell>
        </row>
        <row r="203">
          <cell r="A203" t="str">
            <v>TA1430</v>
          </cell>
          <cell r="B203" t="str">
            <v>16571-0L100</v>
          </cell>
          <cell r="C203">
            <v>37</v>
          </cell>
          <cell r="D203">
            <v>47</v>
          </cell>
          <cell r="E203">
            <v>275</v>
          </cell>
          <cell r="F203" t="str">
            <v>274±1</v>
          </cell>
        </row>
        <row r="204">
          <cell r="A204" t="str">
            <v>TA1440</v>
          </cell>
          <cell r="B204" t="str">
            <v>16571-0L110</v>
          </cell>
          <cell r="C204">
            <v>37</v>
          </cell>
          <cell r="D204">
            <v>47</v>
          </cell>
          <cell r="E204">
            <v>309</v>
          </cell>
          <cell r="F204" t="str">
            <v>308±1</v>
          </cell>
        </row>
        <row r="205">
          <cell r="A205" t="str">
            <v>TA1450</v>
          </cell>
          <cell r="B205" t="str">
            <v>16572-0C140</v>
          </cell>
          <cell r="C205">
            <v>33</v>
          </cell>
          <cell r="D205">
            <v>42</v>
          </cell>
          <cell r="E205">
            <v>716</v>
          </cell>
          <cell r="F205" t="str">
            <v>715±1</v>
          </cell>
        </row>
        <row r="206">
          <cell r="A206" t="str">
            <v>TA1460</v>
          </cell>
          <cell r="B206" t="str">
            <v>16572-0L100</v>
          </cell>
          <cell r="C206">
            <v>37</v>
          </cell>
          <cell r="D206">
            <v>47</v>
          </cell>
          <cell r="E206">
            <v>370</v>
          </cell>
          <cell r="F206" t="str">
            <v>369±1</v>
          </cell>
        </row>
        <row r="207">
          <cell r="A207" t="str">
            <v>TA1470</v>
          </cell>
          <cell r="B207" t="str">
            <v>16572-0L110</v>
          </cell>
          <cell r="C207">
            <v>37</v>
          </cell>
          <cell r="D207">
            <v>47</v>
          </cell>
          <cell r="E207">
            <v>314</v>
          </cell>
          <cell r="F207" t="str">
            <v>313±1</v>
          </cell>
        </row>
        <row r="208">
          <cell r="A208" t="str">
            <v>TA1670</v>
          </cell>
          <cell r="B208" t="str">
            <v>16261-0Y030</v>
          </cell>
          <cell r="C208">
            <v>21</v>
          </cell>
          <cell r="D208">
            <v>29</v>
          </cell>
          <cell r="E208">
            <v>290</v>
          </cell>
          <cell r="F208" t="str">
            <v>289±1</v>
          </cell>
        </row>
        <row r="209">
          <cell r="A209" t="str">
            <v>TA1680</v>
          </cell>
          <cell r="B209" t="str">
            <v>16264-0Y080</v>
          </cell>
          <cell r="C209">
            <v>7.5</v>
          </cell>
          <cell r="D209">
            <v>14.5</v>
          </cell>
          <cell r="E209">
            <v>207</v>
          </cell>
          <cell r="F209" t="str">
            <v>202±2</v>
          </cell>
        </row>
        <row r="210">
          <cell r="A210" t="str">
            <v>TA1690</v>
          </cell>
          <cell r="B210" t="str">
            <v>16267-0Y030</v>
          </cell>
          <cell r="C210">
            <v>7.5</v>
          </cell>
          <cell r="D210">
            <v>14.5</v>
          </cell>
          <cell r="E210">
            <v>478</v>
          </cell>
          <cell r="F210" t="str">
            <v>467±1</v>
          </cell>
        </row>
        <row r="211">
          <cell r="A211" t="str">
            <v>TA1771</v>
          </cell>
          <cell r="B211" t="str">
            <v>16260-0Y080-1</v>
          </cell>
          <cell r="C211">
            <v>13</v>
          </cell>
          <cell r="D211">
            <v>21</v>
          </cell>
          <cell r="E211">
            <v>191</v>
          </cell>
          <cell r="F211" t="str">
            <v>187±1</v>
          </cell>
        </row>
        <row r="212">
          <cell r="A212" t="str">
            <v>TA1772</v>
          </cell>
          <cell r="B212" t="str">
            <v>16260-0Y080-2</v>
          </cell>
          <cell r="C212">
            <v>13</v>
          </cell>
          <cell r="D212">
            <v>21</v>
          </cell>
          <cell r="E212">
            <v>218</v>
          </cell>
          <cell r="F212" t="str">
            <v>214±1</v>
          </cell>
        </row>
        <row r="213">
          <cell r="A213" t="str">
            <v>TA1773</v>
          </cell>
          <cell r="B213" t="str">
            <v>16260-0Y080-3</v>
          </cell>
          <cell r="C213">
            <v>16</v>
          </cell>
          <cell r="D213">
            <v>24</v>
          </cell>
          <cell r="E213">
            <v>189</v>
          </cell>
          <cell r="F213" t="str">
            <v>184±1</v>
          </cell>
        </row>
        <row r="214">
          <cell r="A214" t="str">
            <v>TA1774</v>
          </cell>
          <cell r="B214" t="str">
            <v>16260-0Y080-4</v>
          </cell>
          <cell r="C214">
            <v>16</v>
          </cell>
          <cell r="D214">
            <v>24</v>
          </cell>
          <cell r="E214">
            <v>384</v>
          </cell>
          <cell r="F214" t="str">
            <v>379±1</v>
          </cell>
        </row>
        <row r="215">
          <cell r="A215" t="str">
            <v>TA1780</v>
          </cell>
          <cell r="B215" t="str">
            <v>16571-0Y280</v>
          </cell>
          <cell r="C215">
            <v>30</v>
          </cell>
          <cell r="D215">
            <v>38</v>
          </cell>
          <cell r="E215">
            <v>408</v>
          </cell>
          <cell r="F215" t="str">
            <v>407±1</v>
          </cell>
        </row>
        <row r="216">
          <cell r="A216" t="str">
            <v>TA1790</v>
          </cell>
          <cell r="B216" t="str">
            <v>16572-0Y120</v>
          </cell>
          <cell r="C216">
            <v>30</v>
          </cell>
          <cell r="D216">
            <v>38</v>
          </cell>
          <cell r="E216">
            <v>240</v>
          </cell>
          <cell r="F216" t="str">
            <v>238±1</v>
          </cell>
        </row>
        <row r="217">
          <cell r="A217" t="str">
            <v>TA1830</v>
          </cell>
          <cell r="B217" t="str">
            <v>16281-0Y030</v>
          </cell>
          <cell r="C217">
            <v>16</v>
          </cell>
          <cell r="D217">
            <v>24</v>
          </cell>
          <cell r="E217">
            <v>417</v>
          </cell>
          <cell r="F217" t="str">
            <v>412±1</v>
          </cell>
        </row>
        <row r="218">
          <cell r="A218" t="str">
            <v>TA1890</v>
          </cell>
          <cell r="B218" t="str">
            <v>16264-0L070</v>
          </cell>
          <cell r="C218">
            <v>16</v>
          </cell>
          <cell r="D218">
            <v>24</v>
          </cell>
          <cell r="E218">
            <v>599</v>
          </cell>
          <cell r="F218" t="str">
            <v>595±5</v>
          </cell>
        </row>
        <row r="219">
          <cell r="A219" t="str">
            <v>TA2120</v>
          </cell>
          <cell r="B219" t="str">
            <v>16571-0Y290</v>
          </cell>
          <cell r="C219">
            <v>30</v>
          </cell>
          <cell r="D219">
            <v>38</v>
          </cell>
          <cell r="E219">
            <v>408</v>
          </cell>
          <cell r="F219" t="str">
            <v>407±1</v>
          </cell>
        </row>
        <row r="220">
          <cell r="A220" t="str">
            <v>TA2631</v>
          </cell>
          <cell r="B220" t="str">
            <v>16282-VT060</v>
          </cell>
          <cell r="C220">
            <v>16</v>
          </cell>
          <cell r="D220">
            <v>24</v>
          </cell>
          <cell r="E220">
            <v>405</v>
          </cell>
          <cell r="F220" t="str">
            <v>400±1</v>
          </cell>
        </row>
        <row r="221">
          <cell r="A221" t="str">
            <v>TA2632</v>
          </cell>
          <cell r="B221" t="str">
            <v>16283-VT040</v>
          </cell>
          <cell r="C221">
            <v>16</v>
          </cell>
          <cell r="D221">
            <v>24</v>
          </cell>
          <cell r="E221">
            <v>284</v>
          </cell>
          <cell r="F221" t="str">
            <v>279±1</v>
          </cell>
        </row>
        <row r="222">
          <cell r="A222" t="str">
            <v>TA2633</v>
          </cell>
          <cell r="B222" t="str">
            <v>16571-VT020</v>
          </cell>
          <cell r="C222">
            <v>33</v>
          </cell>
          <cell r="D222">
            <v>42</v>
          </cell>
          <cell r="E222">
            <v>190</v>
          </cell>
          <cell r="F222" t="str">
            <v>188±1</v>
          </cell>
        </row>
        <row r="223">
          <cell r="A223" t="str">
            <v>TA2634</v>
          </cell>
          <cell r="B223" t="str">
            <v>16574-VT020</v>
          </cell>
          <cell r="C223">
            <v>33</v>
          </cell>
          <cell r="D223">
            <v>42</v>
          </cell>
          <cell r="E223">
            <v>355</v>
          </cell>
          <cell r="F223" t="str">
            <v>354±1</v>
          </cell>
        </row>
        <row r="224">
          <cell r="A224" t="str">
            <v>TA2640</v>
          </cell>
          <cell r="B224" t="str">
            <v>16571-VT040-B</v>
          </cell>
          <cell r="C224">
            <v>33</v>
          </cell>
          <cell r="D224">
            <v>42</v>
          </cell>
          <cell r="E224" t="str">
            <v>642</v>
          </cell>
          <cell r="F224" t="str">
            <v>641±1</v>
          </cell>
        </row>
        <row r="225">
          <cell r="A225" t="str">
            <v>TA2650</v>
          </cell>
          <cell r="B225" t="str">
            <v>16572-VT020-B</v>
          </cell>
          <cell r="C225">
            <v>33</v>
          </cell>
          <cell r="D225">
            <v>42</v>
          </cell>
          <cell r="E225">
            <v>633</v>
          </cell>
          <cell r="F225" t="str">
            <v>632±1</v>
          </cell>
        </row>
        <row r="226">
          <cell r="A226" t="str">
            <v>TA2660</v>
          </cell>
          <cell r="B226" t="str">
            <v>16572-VT040-A</v>
          </cell>
          <cell r="C226">
            <v>33</v>
          </cell>
          <cell r="D226">
            <v>42</v>
          </cell>
          <cell r="E226">
            <v>512</v>
          </cell>
          <cell r="F226" t="str">
            <v>501±1</v>
          </cell>
        </row>
        <row r="227">
          <cell r="A227" t="str">
            <v>TA2670</v>
          </cell>
          <cell r="B227" t="str">
            <v>G9225-VT020</v>
          </cell>
          <cell r="C227">
            <v>16</v>
          </cell>
          <cell r="D227">
            <v>24</v>
          </cell>
          <cell r="E227">
            <v>280</v>
          </cell>
          <cell r="F227" t="str">
            <v>278±1</v>
          </cell>
        </row>
        <row r="228">
          <cell r="A228" t="str">
            <v>TA2680</v>
          </cell>
          <cell r="B228" t="str">
            <v>G9226-VT020-C</v>
          </cell>
          <cell r="C228">
            <v>16</v>
          </cell>
          <cell r="D228">
            <v>24</v>
          </cell>
          <cell r="E228" t="str">
            <v>750</v>
          </cell>
          <cell r="F228" t="str">
            <v>745±1</v>
          </cell>
        </row>
        <row r="229">
          <cell r="A229" t="str">
            <v>TA2690</v>
          </cell>
          <cell r="B229" t="str">
            <v>G9227-VT020-B</v>
          </cell>
          <cell r="C229">
            <v>16</v>
          </cell>
          <cell r="D229">
            <v>24</v>
          </cell>
          <cell r="E229">
            <v>610</v>
          </cell>
          <cell r="F229" t="str">
            <v>603±1</v>
          </cell>
        </row>
        <row r="230">
          <cell r="A230" t="str">
            <v>TA2700</v>
          </cell>
          <cell r="B230" t="str">
            <v>G9228-VT020-B</v>
          </cell>
          <cell r="C230">
            <v>16</v>
          </cell>
          <cell r="D230">
            <v>24</v>
          </cell>
          <cell r="E230">
            <v>643</v>
          </cell>
          <cell r="F230" t="str">
            <v>640±1</v>
          </cell>
        </row>
        <row r="231">
          <cell r="A231" t="str">
            <v>TA2711</v>
          </cell>
          <cell r="B231" t="str">
            <v>G9229-VT020-A</v>
          </cell>
          <cell r="C231">
            <v>16</v>
          </cell>
          <cell r="D231">
            <v>24</v>
          </cell>
          <cell r="E231">
            <v>558</v>
          </cell>
          <cell r="F231" t="str">
            <v>553±1</v>
          </cell>
        </row>
        <row r="232">
          <cell r="A232" t="str">
            <v>TA2712</v>
          </cell>
          <cell r="B232" t="str">
            <v>G9229-VT020-A</v>
          </cell>
          <cell r="C232">
            <v>16</v>
          </cell>
          <cell r="D232">
            <v>24</v>
          </cell>
          <cell r="E232">
            <v>517</v>
          </cell>
          <cell r="F232" t="str">
            <v>512±1</v>
          </cell>
        </row>
        <row r="233">
          <cell r="A233" t="str">
            <v>TA2750</v>
          </cell>
          <cell r="B233" t="str">
            <v>16264-BZ230-H</v>
          </cell>
          <cell r="C233">
            <v>13</v>
          </cell>
          <cell r="D233">
            <v>21</v>
          </cell>
          <cell r="E233">
            <v>292</v>
          </cell>
          <cell r="F233" t="str">
            <v>285±1</v>
          </cell>
        </row>
        <row r="234">
          <cell r="A234" t="str">
            <v>TA2770</v>
          </cell>
          <cell r="B234" t="str">
            <v>16261-BZ430-H</v>
          </cell>
          <cell r="C234">
            <v>13</v>
          </cell>
          <cell r="D234">
            <v>21</v>
          </cell>
          <cell r="E234">
            <v>369</v>
          </cell>
          <cell r="F234" t="str">
            <v>365±1</v>
          </cell>
        </row>
        <row r="235">
          <cell r="A235" t="str">
            <v>TA2830</v>
          </cell>
          <cell r="B235" t="str">
            <v>87245-BZ380-H</v>
          </cell>
          <cell r="C235">
            <v>13</v>
          </cell>
          <cell r="D235">
            <v>21</v>
          </cell>
          <cell r="E235">
            <v>738</v>
          </cell>
          <cell r="F235" t="str">
            <v>734±1</v>
          </cell>
        </row>
        <row r="236">
          <cell r="A236" t="str">
            <v>TA2840</v>
          </cell>
          <cell r="B236" t="str">
            <v>87245-BZ390-H</v>
          </cell>
          <cell r="C236">
            <v>13</v>
          </cell>
          <cell r="D236">
            <v>21</v>
          </cell>
          <cell r="E236">
            <v>803</v>
          </cell>
          <cell r="F236" t="str">
            <v>799±1</v>
          </cell>
        </row>
        <row r="237">
          <cell r="A237" t="str">
            <v>TA2850</v>
          </cell>
          <cell r="B237" t="str">
            <v>87245-BZ410-H</v>
          </cell>
          <cell r="C237">
            <v>13</v>
          </cell>
          <cell r="D237">
            <v>21</v>
          </cell>
          <cell r="E237">
            <v>853</v>
          </cell>
          <cell r="F237" t="str">
            <v>849±1</v>
          </cell>
        </row>
        <row r="238">
          <cell r="A238" t="str">
            <v>TA2860</v>
          </cell>
          <cell r="B238" t="str">
            <v>87246-BZ320-H</v>
          </cell>
          <cell r="C238">
            <v>13</v>
          </cell>
          <cell r="D238">
            <v>21</v>
          </cell>
          <cell r="E238">
            <v>388</v>
          </cell>
          <cell r="F238" t="str">
            <v>384±1</v>
          </cell>
        </row>
        <row r="239">
          <cell r="A239" t="str">
            <v>TA2870</v>
          </cell>
          <cell r="B239" t="str">
            <v>87246-BZ330-H</v>
          </cell>
          <cell r="C239">
            <v>13</v>
          </cell>
          <cell r="D239">
            <v>21</v>
          </cell>
          <cell r="E239">
            <v>458</v>
          </cell>
          <cell r="F239" t="str">
            <v>454±1</v>
          </cell>
        </row>
        <row r="240">
          <cell r="A240" t="str">
            <v>TA2880</v>
          </cell>
          <cell r="B240" t="str">
            <v>87246-BZ350-H</v>
          </cell>
          <cell r="C240">
            <v>13</v>
          </cell>
          <cell r="D240">
            <v>21</v>
          </cell>
          <cell r="E240">
            <v>574</v>
          </cell>
          <cell r="F240" t="str">
            <v>570±1</v>
          </cell>
        </row>
        <row r="241">
          <cell r="A241" t="str">
            <v>TA3000</v>
          </cell>
          <cell r="B241" t="str">
            <v>16572-BZ460-H</v>
          </cell>
          <cell r="C241">
            <v>30</v>
          </cell>
          <cell r="D241">
            <v>38</v>
          </cell>
          <cell r="E241">
            <v>422</v>
          </cell>
          <cell r="F241" t="str">
            <v>421±1</v>
          </cell>
        </row>
        <row r="242">
          <cell r="A242" t="str">
            <v>TA3010</v>
          </cell>
          <cell r="B242" t="str">
            <v>16571-BZ520-H</v>
          </cell>
          <cell r="C242">
            <v>30</v>
          </cell>
          <cell r="D242">
            <v>38</v>
          </cell>
          <cell r="E242">
            <v>296</v>
          </cell>
          <cell r="F242" t="str">
            <v>295±1</v>
          </cell>
        </row>
        <row r="243">
          <cell r="A243" t="str">
            <v>TA3050</v>
          </cell>
          <cell r="B243" t="str">
            <v>16572-BZ490</v>
          </cell>
          <cell r="C243">
            <v>30</v>
          </cell>
          <cell r="D243">
            <v>38</v>
          </cell>
          <cell r="E243">
            <v>450</v>
          </cell>
          <cell r="F243" t="str">
            <v>448±1</v>
          </cell>
        </row>
        <row r="244">
          <cell r="A244" t="str">
            <v>TA3060</v>
          </cell>
          <cell r="B244" t="str">
            <v>16571-BZ560-H</v>
          </cell>
          <cell r="C244">
            <v>30</v>
          </cell>
          <cell r="D244">
            <v>38</v>
          </cell>
          <cell r="E244">
            <v>500</v>
          </cell>
          <cell r="F244" t="str">
            <v>498±1</v>
          </cell>
        </row>
        <row r="245">
          <cell r="A245" t="str">
            <v>MS0230</v>
          </cell>
          <cell r="B245" t="str">
            <v>A4300781202</v>
          </cell>
          <cell r="C245">
            <v>11.5</v>
          </cell>
          <cell r="D245">
            <v>18.3</v>
          </cell>
          <cell r="E245">
            <v>300</v>
          </cell>
          <cell r="F245" t="str">
            <v>238±1</v>
          </cell>
        </row>
        <row r="246">
          <cell r="A246" t="str">
            <v>NA2031</v>
          </cell>
          <cell r="B246" t="str">
            <v>23826-BZ020-H</v>
          </cell>
          <cell r="C246">
            <v>5.8</v>
          </cell>
          <cell r="D246">
            <v>12.2</v>
          </cell>
          <cell r="E246">
            <v>108</v>
          </cell>
          <cell r="F246" t="str">
            <v>105±2</v>
          </cell>
        </row>
        <row r="247">
          <cell r="A247" t="str">
            <v>NA2032</v>
          </cell>
          <cell r="B247" t="str">
            <v>23827-BZ140-H</v>
          </cell>
          <cell r="C247">
            <v>5.8</v>
          </cell>
          <cell r="D247">
            <v>12.2</v>
          </cell>
          <cell r="E247">
            <v>155</v>
          </cell>
          <cell r="F247" t="str">
            <v>105±2</v>
          </cell>
        </row>
        <row r="248">
          <cell r="A248" t="str">
            <v>NA2700</v>
          </cell>
          <cell r="B248" t="str">
            <v>44726-BZ020-H</v>
          </cell>
          <cell r="C248">
            <v>7.5</v>
          </cell>
          <cell r="D248">
            <v>16</v>
          </cell>
          <cell r="E248">
            <v>159</v>
          </cell>
          <cell r="F248" t="str">
            <v>156±1</v>
          </cell>
        </row>
        <row r="249">
          <cell r="A249" t="str">
            <v>NA2810</v>
          </cell>
          <cell r="B249" t="str">
            <v>44726-BZ010-H</v>
          </cell>
          <cell r="C249">
            <v>7.5</v>
          </cell>
          <cell r="D249">
            <v>16</v>
          </cell>
          <cell r="E249">
            <v>95</v>
          </cell>
          <cell r="F249" t="str">
            <v>93±1</v>
          </cell>
        </row>
        <row r="250">
          <cell r="A250" t="str">
            <v>NA2990</v>
          </cell>
          <cell r="B250" t="str">
            <v>17341-BZ040-H</v>
          </cell>
          <cell r="C250">
            <v>7.5</v>
          </cell>
          <cell r="D250">
            <v>16</v>
          </cell>
          <cell r="E250">
            <v>490</v>
          </cell>
          <cell r="F250" t="str">
            <v>462±2</v>
          </cell>
        </row>
        <row r="251">
          <cell r="A251" t="str">
            <v>HN0140</v>
          </cell>
          <cell r="B251" t="str">
            <v>23273-0W020</v>
          </cell>
          <cell r="C251">
            <v>7.6</v>
          </cell>
          <cell r="D251">
            <v>14</v>
          </cell>
          <cell r="E251">
            <v>288</v>
          </cell>
          <cell r="F251" t="str">
            <v>281±1</v>
          </cell>
        </row>
        <row r="252">
          <cell r="A252" t="str">
            <v>HN0180</v>
          </cell>
          <cell r="B252" t="str">
            <v>77259-0W030</v>
          </cell>
          <cell r="C252">
            <v>9.5</v>
          </cell>
          <cell r="D252">
            <v>16.5</v>
          </cell>
          <cell r="E252">
            <v>289</v>
          </cell>
          <cell r="F252" t="str">
            <v>274±2</v>
          </cell>
        </row>
        <row r="253">
          <cell r="A253" t="str">
            <v>HN0190</v>
          </cell>
          <cell r="B253" t="str">
            <v>77259-0W040</v>
          </cell>
          <cell r="C253">
            <v>9.5</v>
          </cell>
          <cell r="D253">
            <v>16.5</v>
          </cell>
          <cell r="E253">
            <v>338</v>
          </cell>
          <cell r="F253" t="str">
            <v>322±3</v>
          </cell>
        </row>
        <row r="254">
          <cell r="A254" t="str">
            <v>HN0200</v>
          </cell>
          <cell r="B254" t="str">
            <v>77259-0W050</v>
          </cell>
          <cell r="C254">
            <v>9.5</v>
          </cell>
          <cell r="D254">
            <v>16.5</v>
          </cell>
          <cell r="E254">
            <v>279</v>
          </cell>
          <cell r="F254" t="str">
            <v>265±3</v>
          </cell>
        </row>
        <row r="255">
          <cell r="A255" t="str">
            <v>HN0210</v>
          </cell>
          <cell r="B255" t="str">
            <v>77259-0W060</v>
          </cell>
          <cell r="C255">
            <v>9.5</v>
          </cell>
          <cell r="D255">
            <v>16.5</v>
          </cell>
          <cell r="E255">
            <v>280</v>
          </cell>
          <cell r="F255" t="str">
            <v>266±3</v>
          </cell>
        </row>
        <row r="256">
          <cell r="A256" t="str">
            <v>HN0220</v>
          </cell>
          <cell r="B256" t="str">
            <v>77279-0W020</v>
          </cell>
          <cell r="C256">
            <v>7.6</v>
          </cell>
          <cell r="D256">
            <v>14</v>
          </cell>
          <cell r="E256">
            <v>299</v>
          </cell>
          <cell r="F256" t="str">
            <v>292±2</v>
          </cell>
        </row>
        <row r="257">
          <cell r="A257" t="str">
            <v>HN0230</v>
          </cell>
          <cell r="B257" t="str">
            <v>77279-0W030</v>
          </cell>
          <cell r="C257">
            <v>7.6</v>
          </cell>
          <cell r="D257">
            <v>14</v>
          </cell>
          <cell r="E257">
            <v>299</v>
          </cell>
          <cell r="F257" t="str">
            <v>292±1</v>
          </cell>
        </row>
        <row r="258">
          <cell r="A258" t="str">
            <v>HN0580</v>
          </cell>
          <cell r="B258" t="str">
            <v>77259-E0190</v>
          </cell>
          <cell r="C258">
            <v>9.5</v>
          </cell>
          <cell r="D258">
            <v>17</v>
          </cell>
          <cell r="E258">
            <v>4850</v>
          </cell>
          <cell r="F258" t="str">
            <v>LOYANG</v>
          </cell>
        </row>
        <row r="259">
          <cell r="A259" t="str">
            <v>PM1041</v>
          </cell>
          <cell r="B259" t="str">
            <v>89823-94260</v>
          </cell>
          <cell r="C259">
            <v>9.3000000000000007</v>
          </cell>
          <cell r="D259">
            <v>16.5</v>
          </cell>
          <cell r="E259">
            <v>597</v>
          </cell>
          <cell r="F259" t="str">
            <v>592±1</v>
          </cell>
        </row>
        <row r="260">
          <cell r="A260" t="str">
            <v>PM1042</v>
          </cell>
          <cell r="B260" t="str">
            <v>89823-94270</v>
          </cell>
          <cell r="C260">
            <v>5.8</v>
          </cell>
          <cell r="D260">
            <v>12.2</v>
          </cell>
          <cell r="E260">
            <v>465</v>
          </cell>
          <cell r="F260" t="str">
            <v>465±1</v>
          </cell>
        </row>
        <row r="261">
          <cell r="A261" t="str">
            <v>PM105A</v>
          </cell>
          <cell r="B261" t="str">
            <v>89381-03491</v>
          </cell>
          <cell r="C261">
            <v>9.3000000000000007</v>
          </cell>
          <cell r="D261">
            <v>16.5</v>
          </cell>
          <cell r="E261">
            <v>278</v>
          </cell>
          <cell r="F261" t="str">
            <v>270±1</v>
          </cell>
        </row>
        <row r="262">
          <cell r="A262" t="str">
            <v>PM1130</v>
          </cell>
          <cell r="B262" t="str">
            <v>0098093800</v>
          </cell>
          <cell r="C262">
            <v>9.5</v>
          </cell>
          <cell r="D262">
            <v>17</v>
          </cell>
          <cell r="E262">
            <v>430</v>
          </cell>
          <cell r="F262" t="str">
            <v>424±2</v>
          </cell>
        </row>
        <row r="263">
          <cell r="A263" t="str">
            <v>PM1140</v>
          </cell>
          <cell r="B263">
            <v>8975177101</v>
          </cell>
          <cell r="C263">
            <v>9.3000000000000007</v>
          </cell>
          <cell r="D263">
            <v>16.5</v>
          </cell>
          <cell r="E263">
            <v>630</v>
          </cell>
          <cell r="F263" t="str">
            <v>611±2</v>
          </cell>
        </row>
        <row r="264">
          <cell r="A264" t="str">
            <v>PM1150</v>
          </cell>
          <cell r="B264" t="str">
            <v>'0018052200</v>
          </cell>
          <cell r="C264">
            <v>5.8</v>
          </cell>
          <cell r="D264">
            <v>12.2</v>
          </cell>
          <cell r="E264">
            <v>470</v>
          </cell>
          <cell r="F264" t="str">
            <v>468±2</v>
          </cell>
        </row>
        <row r="265">
          <cell r="A265" t="str">
            <v>PM1160</v>
          </cell>
          <cell r="B265">
            <v>8975480410</v>
          </cell>
          <cell r="C265">
            <v>9.3000000000000007</v>
          </cell>
          <cell r="D265">
            <v>16.5</v>
          </cell>
          <cell r="E265">
            <v>283</v>
          </cell>
          <cell r="F265" t="str">
            <v>282±2</v>
          </cell>
        </row>
        <row r="266">
          <cell r="A266" t="str">
            <v>PM1170</v>
          </cell>
          <cell r="B266">
            <v>8975177091</v>
          </cell>
          <cell r="C266">
            <v>9.3000000000000007</v>
          </cell>
          <cell r="D266">
            <v>16.5</v>
          </cell>
          <cell r="E266">
            <v>240</v>
          </cell>
          <cell r="F266" t="str">
            <v>238±2</v>
          </cell>
        </row>
        <row r="267">
          <cell r="A267" t="str">
            <v>PM1180</v>
          </cell>
          <cell r="B267">
            <v>8976639890</v>
          </cell>
          <cell r="C267">
            <v>9.3000000000000007</v>
          </cell>
          <cell r="D267">
            <v>16.5</v>
          </cell>
          <cell r="E267">
            <v>655</v>
          </cell>
          <cell r="F267" t="str">
            <v>LOYANG</v>
          </cell>
        </row>
        <row r="268">
          <cell r="A268" t="str">
            <v>PM1190</v>
          </cell>
          <cell r="B268">
            <v>8976639900</v>
          </cell>
          <cell r="C268">
            <v>5.8</v>
          </cell>
          <cell r="D268">
            <v>12.2</v>
          </cell>
          <cell r="E268">
            <v>460</v>
          </cell>
          <cell r="F268" t="str">
            <v>458±1</v>
          </cell>
        </row>
        <row r="269">
          <cell r="A269" t="str">
            <v>PM1200</v>
          </cell>
          <cell r="B269">
            <v>8983530511</v>
          </cell>
          <cell r="C269">
            <v>9.3000000000000007</v>
          </cell>
          <cell r="D269">
            <v>17</v>
          </cell>
          <cell r="E269">
            <v>1105</v>
          </cell>
          <cell r="F269" t="str">
            <v>LOYANG</v>
          </cell>
        </row>
        <row r="270">
          <cell r="A270" t="str">
            <v>PM1210</v>
          </cell>
          <cell r="B270">
            <v>8983530501</v>
          </cell>
          <cell r="C270">
            <v>9.3000000000000007</v>
          </cell>
          <cell r="D270">
            <v>17</v>
          </cell>
          <cell r="E270">
            <v>535</v>
          </cell>
          <cell r="F270" t="str">
            <v>LOYANG</v>
          </cell>
        </row>
        <row r="271">
          <cell r="A271" t="str">
            <v>PM1220</v>
          </cell>
          <cell r="B271">
            <v>8982863010</v>
          </cell>
          <cell r="C271">
            <v>11</v>
          </cell>
          <cell r="D271">
            <v>19.899999999999999</v>
          </cell>
          <cell r="E271">
            <v>360</v>
          </cell>
          <cell r="F271" t="str">
            <v>350±2</v>
          </cell>
        </row>
        <row r="272">
          <cell r="A272" t="str">
            <v>PM1240</v>
          </cell>
          <cell r="B272">
            <v>8983363550</v>
          </cell>
          <cell r="C272">
            <v>7.5</v>
          </cell>
          <cell r="D272">
            <v>13.5</v>
          </cell>
          <cell r="E272">
            <v>765</v>
          </cell>
          <cell r="F272" t="str">
            <v>LOYANG</v>
          </cell>
        </row>
        <row r="273">
          <cell r="A273" t="str">
            <v>PM1250</v>
          </cell>
          <cell r="B273">
            <v>8983095300</v>
          </cell>
          <cell r="C273">
            <v>9.3000000000000007</v>
          </cell>
          <cell r="D273">
            <v>17</v>
          </cell>
          <cell r="E273">
            <v>505</v>
          </cell>
          <cell r="F273">
            <v>500</v>
          </cell>
        </row>
        <row r="274">
          <cell r="A274" t="str">
            <v>PM1260</v>
          </cell>
          <cell r="B274" t="str">
            <v>0018053200</v>
          </cell>
          <cell r="C274">
            <v>5.8</v>
          </cell>
          <cell r="D274">
            <v>12.2</v>
          </cell>
          <cell r="E274">
            <v>380</v>
          </cell>
          <cell r="F274" t="str">
            <v>370±2</v>
          </cell>
        </row>
        <row r="275">
          <cell r="A275" t="str">
            <v>PM1290</v>
          </cell>
          <cell r="B275" t="str">
            <v>P001691350</v>
          </cell>
          <cell r="C275">
            <v>9.3000000000000007</v>
          </cell>
          <cell r="D275">
            <v>17</v>
          </cell>
          <cell r="E275">
            <v>1415</v>
          </cell>
          <cell r="F275" t="str">
            <v>LOYANG</v>
          </cell>
        </row>
        <row r="276">
          <cell r="A276" t="str">
            <v>PM1300</v>
          </cell>
          <cell r="B276" t="str">
            <v>P001069600</v>
          </cell>
          <cell r="C276">
            <v>5.8</v>
          </cell>
          <cell r="D276">
            <v>12.2</v>
          </cell>
          <cell r="E276">
            <v>1040</v>
          </cell>
          <cell r="F276" t="str">
            <v>LOYANG</v>
          </cell>
        </row>
        <row r="277">
          <cell r="A277" t="str">
            <v>PM1310</v>
          </cell>
          <cell r="B277" t="str">
            <v>P566002410</v>
          </cell>
          <cell r="C277">
            <v>9.3000000000000007</v>
          </cell>
          <cell r="D277">
            <v>17</v>
          </cell>
          <cell r="E277">
            <v>360</v>
          </cell>
          <cell r="F277"/>
        </row>
        <row r="278">
          <cell r="A278" t="str">
            <v>PM1320</v>
          </cell>
          <cell r="B278" t="str">
            <v>P566002400</v>
          </cell>
          <cell r="C278">
            <v>5.8</v>
          </cell>
          <cell r="D278">
            <v>12.2</v>
          </cell>
          <cell r="E278">
            <v>400</v>
          </cell>
          <cell r="F278"/>
        </row>
        <row r="279">
          <cell r="A279" t="str">
            <v>PM1370</v>
          </cell>
          <cell r="B279" t="str">
            <v>0018093600</v>
          </cell>
          <cell r="C279">
            <v>9.3000000000000007</v>
          </cell>
          <cell r="D279">
            <v>17</v>
          </cell>
          <cell r="E279">
            <v>439</v>
          </cell>
          <cell r="F279" t="str">
            <v>425±2</v>
          </cell>
        </row>
        <row r="280">
          <cell r="A280" t="str">
            <v>PM1410</v>
          </cell>
          <cell r="B280" t="str">
            <v>P566002420</v>
          </cell>
          <cell r="C280">
            <v>5.8</v>
          </cell>
          <cell r="D280">
            <v>12.2</v>
          </cell>
          <cell r="E280">
            <v>395</v>
          </cell>
          <cell r="F280" t="str">
            <v>393±2</v>
          </cell>
        </row>
        <row r="281">
          <cell r="A281" t="str">
            <v>PM1420</v>
          </cell>
          <cell r="B281" t="str">
            <v>P566002390</v>
          </cell>
          <cell r="C281">
            <v>9.3000000000000007</v>
          </cell>
          <cell r="D281">
            <v>17</v>
          </cell>
          <cell r="E281">
            <v>453</v>
          </cell>
          <cell r="F281" t="str">
            <v>448±2</v>
          </cell>
        </row>
        <row r="282">
          <cell r="A282" t="str">
            <v>PM1440</v>
          </cell>
          <cell r="B282">
            <v>7474940060</v>
          </cell>
          <cell r="C282">
            <v>5.8</v>
          </cell>
          <cell r="D282">
            <v>12.2</v>
          </cell>
          <cell r="E282">
            <v>1910</v>
          </cell>
          <cell r="F282" t="str">
            <v>LOYANG</v>
          </cell>
        </row>
        <row r="283">
          <cell r="A283" t="str">
            <v>PM1450</v>
          </cell>
          <cell r="B283" t="str">
            <v>P566002380</v>
          </cell>
          <cell r="C283">
            <v>9.3000000000000007</v>
          </cell>
          <cell r="D283">
            <v>17</v>
          </cell>
          <cell r="E283">
            <v>1615</v>
          </cell>
          <cell r="F283" t="str">
            <v>LOYANG</v>
          </cell>
        </row>
        <row r="284">
          <cell r="A284" t="str">
            <v>PM1470</v>
          </cell>
          <cell r="B284" t="str">
            <v>P566003040</v>
          </cell>
          <cell r="C284">
            <v>11.3</v>
          </cell>
          <cell r="D284">
            <v>19.5</v>
          </cell>
          <cell r="E284">
            <v>393</v>
          </cell>
          <cell r="F284"/>
        </row>
        <row r="285">
          <cell r="A285" t="str">
            <v>PM1480</v>
          </cell>
          <cell r="B285" t="str">
            <v>'0018097300</v>
          </cell>
          <cell r="C285">
            <v>9.3000000000000007</v>
          </cell>
          <cell r="D285">
            <v>17</v>
          </cell>
          <cell r="E285">
            <v>940</v>
          </cell>
          <cell r="F285"/>
        </row>
        <row r="286">
          <cell r="A286" t="str">
            <v>PM1490</v>
          </cell>
          <cell r="B286" t="str">
            <v>P566003050</v>
          </cell>
          <cell r="C286">
            <v>11.3</v>
          </cell>
          <cell r="D286">
            <v>19.5</v>
          </cell>
          <cell r="E286">
            <v>665</v>
          </cell>
          <cell r="F286"/>
        </row>
        <row r="287">
          <cell r="A287" t="str">
            <v>PM1500</v>
          </cell>
          <cell r="B287">
            <v>18122800</v>
          </cell>
          <cell r="C287">
            <v>11.3</v>
          </cell>
          <cell r="D287">
            <v>19.3</v>
          </cell>
          <cell r="E287">
            <v>330</v>
          </cell>
          <cell r="F287" t="str">
            <v>328±2</v>
          </cell>
        </row>
        <row r="288">
          <cell r="A288" t="str">
            <v>TA0804</v>
          </cell>
          <cell r="B288" t="str">
            <v>17431-0C110</v>
          </cell>
          <cell r="C288">
            <v>7.5</v>
          </cell>
          <cell r="D288">
            <v>16</v>
          </cell>
          <cell r="E288">
            <v>289</v>
          </cell>
          <cell r="F288" t="str">
            <v>284±2</v>
          </cell>
        </row>
        <row r="289">
          <cell r="A289" t="str">
            <v>TA0811</v>
          </cell>
          <cell r="B289" t="str">
            <v>17431-0C120</v>
          </cell>
          <cell r="C289">
            <v>7.5</v>
          </cell>
          <cell r="D289">
            <v>16</v>
          </cell>
          <cell r="E289">
            <v>474</v>
          </cell>
          <cell r="F289" t="str">
            <v>463±2</v>
          </cell>
        </row>
        <row r="290">
          <cell r="A290" t="str">
            <v>TA1090</v>
          </cell>
          <cell r="B290" t="str">
            <v>23271-0C140</v>
          </cell>
          <cell r="C290">
            <v>9.5</v>
          </cell>
          <cell r="D290">
            <v>16.5</v>
          </cell>
          <cell r="E290">
            <v>543</v>
          </cell>
          <cell r="F290" t="str">
            <v>530±5</v>
          </cell>
        </row>
        <row r="291">
          <cell r="A291" t="str">
            <v>TA121A</v>
          </cell>
          <cell r="B291" t="str">
            <v>17341-0C160</v>
          </cell>
          <cell r="C291">
            <v>7.5</v>
          </cell>
          <cell r="D291">
            <v>16</v>
          </cell>
          <cell r="E291">
            <v>328</v>
          </cell>
          <cell r="F291" t="str">
            <v>320±2</v>
          </cell>
        </row>
        <row r="292">
          <cell r="A292" t="str">
            <v>TA136A</v>
          </cell>
          <cell r="B292" t="str">
            <v>17341-0C160</v>
          </cell>
          <cell r="C292">
            <v>7.5</v>
          </cell>
          <cell r="D292">
            <v>16</v>
          </cell>
          <cell r="E292">
            <v>532</v>
          </cell>
          <cell r="F292" t="str">
            <v>523±3</v>
          </cell>
        </row>
        <row r="293">
          <cell r="A293" t="str">
            <v>TA1371</v>
          </cell>
          <cell r="B293" t="str">
            <v>23273-0C130(1)</v>
          </cell>
          <cell r="C293">
            <v>7.6</v>
          </cell>
          <cell r="D293">
            <v>14</v>
          </cell>
          <cell r="E293">
            <v>555</v>
          </cell>
          <cell r="F293" t="str">
            <v>536±2</v>
          </cell>
        </row>
        <row r="294">
          <cell r="A294" t="str">
            <v>TA1372</v>
          </cell>
          <cell r="B294" t="str">
            <v>23273-0C130(2)</v>
          </cell>
          <cell r="C294">
            <v>7.6</v>
          </cell>
          <cell r="D294">
            <v>14</v>
          </cell>
          <cell r="E294">
            <v>213</v>
          </cell>
          <cell r="F294" t="str">
            <v>203±1</v>
          </cell>
        </row>
        <row r="295">
          <cell r="A295" t="str">
            <v>TA1380</v>
          </cell>
          <cell r="B295" t="str">
            <v>23271-0C120</v>
          </cell>
          <cell r="C295">
            <v>7.6</v>
          </cell>
          <cell r="D295">
            <v>14</v>
          </cell>
          <cell r="E295">
            <v>663</v>
          </cell>
          <cell r="F295" t="str">
            <v>651±1</v>
          </cell>
        </row>
        <row r="296">
          <cell r="A296" t="str">
            <v>TA148A</v>
          </cell>
          <cell r="B296" t="str">
            <v>17341-0C170</v>
          </cell>
          <cell r="C296">
            <v>7.5</v>
          </cell>
          <cell r="D296">
            <v>16</v>
          </cell>
          <cell r="E296">
            <v>397</v>
          </cell>
          <cell r="F296" t="str">
            <v>388±3</v>
          </cell>
        </row>
        <row r="297">
          <cell r="A297" t="str">
            <v>TA149A</v>
          </cell>
          <cell r="B297" t="str">
            <v>23273-0C171</v>
          </cell>
          <cell r="C297">
            <v>5.8</v>
          </cell>
          <cell r="D297">
            <v>12.2</v>
          </cell>
          <cell r="E297">
            <v>545</v>
          </cell>
          <cell r="F297" t="str">
            <v>532±2</v>
          </cell>
        </row>
        <row r="298">
          <cell r="A298" t="str">
            <v>TA1551</v>
          </cell>
          <cell r="B298" t="str">
            <v>17342-0C100</v>
          </cell>
          <cell r="C298">
            <v>7.5</v>
          </cell>
          <cell r="D298">
            <v>16</v>
          </cell>
          <cell r="E298">
            <v>427</v>
          </cell>
          <cell r="F298" t="str">
            <v>417±3</v>
          </cell>
        </row>
        <row r="299">
          <cell r="A299" t="str">
            <v>TA1561</v>
          </cell>
          <cell r="B299" t="str">
            <v>17342-0C090</v>
          </cell>
          <cell r="C299">
            <v>7.5</v>
          </cell>
          <cell r="D299">
            <v>16</v>
          </cell>
          <cell r="E299">
            <v>423</v>
          </cell>
          <cell r="F299" t="str">
            <v>413±3</v>
          </cell>
        </row>
        <row r="300">
          <cell r="A300" t="str">
            <v>TA1731</v>
          </cell>
          <cell r="B300" t="str">
            <v>23274-0C100</v>
          </cell>
          <cell r="C300">
            <v>7.6</v>
          </cell>
          <cell r="D300">
            <v>14</v>
          </cell>
          <cell r="E300">
            <v>477</v>
          </cell>
          <cell r="F300" t="str">
            <v>460±2</v>
          </cell>
        </row>
        <row r="301">
          <cell r="A301" t="str">
            <v>TA1732</v>
          </cell>
          <cell r="B301" t="str">
            <v>77259-KK060(1)</v>
          </cell>
          <cell r="C301">
            <v>9.5</v>
          </cell>
          <cell r="D301">
            <v>16.5</v>
          </cell>
          <cell r="E301">
            <v>439</v>
          </cell>
          <cell r="F301" t="str">
            <v>428±4</v>
          </cell>
        </row>
        <row r="302">
          <cell r="A302" t="str">
            <v>TA1733</v>
          </cell>
          <cell r="B302" t="str">
            <v>77259-KK060(2)</v>
          </cell>
          <cell r="C302">
            <v>9.5</v>
          </cell>
          <cell r="D302">
            <v>16.5</v>
          </cell>
          <cell r="E302">
            <v>234</v>
          </cell>
          <cell r="F302" t="str">
            <v>227±2</v>
          </cell>
        </row>
        <row r="303">
          <cell r="A303" t="str">
            <v>TA1741</v>
          </cell>
          <cell r="B303" t="str">
            <v>77259-KK040</v>
          </cell>
          <cell r="C303">
            <v>9.5</v>
          </cell>
          <cell r="D303">
            <v>16.5</v>
          </cell>
          <cell r="E303">
            <v>451</v>
          </cell>
          <cell r="F303" t="str">
            <v>441±4</v>
          </cell>
        </row>
        <row r="304">
          <cell r="A304" t="str">
            <v>TA1742</v>
          </cell>
          <cell r="B304" t="str">
            <v>23274-0L060</v>
          </cell>
          <cell r="C304">
            <v>7.6</v>
          </cell>
          <cell r="D304">
            <v>14</v>
          </cell>
          <cell r="E304">
            <v>519</v>
          </cell>
          <cell r="F304" t="str">
            <v>501±2</v>
          </cell>
        </row>
        <row r="305">
          <cell r="A305" t="str">
            <v>TA1800</v>
          </cell>
          <cell r="B305" t="str">
            <v>17341-0V010</v>
          </cell>
          <cell r="C305">
            <v>7.5</v>
          </cell>
          <cell r="D305">
            <v>16</v>
          </cell>
          <cell r="E305">
            <v>629</v>
          </cell>
          <cell r="F305" t="str">
            <v>616±4</v>
          </cell>
        </row>
        <row r="306">
          <cell r="A306" t="str">
            <v>TA1810</v>
          </cell>
          <cell r="B306" t="str">
            <v>17342-0Y010</v>
          </cell>
          <cell r="C306">
            <v>7.5</v>
          </cell>
          <cell r="D306">
            <v>16</v>
          </cell>
          <cell r="E306">
            <v>362</v>
          </cell>
          <cell r="F306" t="str">
            <v>354±2</v>
          </cell>
        </row>
        <row r="307">
          <cell r="A307" t="str">
            <v>TA1941</v>
          </cell>
          <cell r="B307" t="str">
            <v>23273-0L200 (1)</v>
          </cell>
          <cell r="C307">
            <v>7.6</v>
          </cell>
          <cell r="D307">
            <v>14</v>
          </cell>
          <cell r="E307">
            <v>425</v>
          </cell>
          <cell r="F307" t="str">
            <v>410±2</v>
          </cell>
        </row>
        <row r="308">
          <cell r="A308" t="str">
            <v>TA1942</v>
          </cell>
          <cell r="B308" t="str">
            <v>23273-0L200 (2)</v>
          </cell>
          <cell r="C308">
            <v>7.6</v>
          </cell>
          <cell r="D308">
            <v>14</v>
          </cell>
          <cell r="E308">
            <v>284</v>
          </cell>
          <cell r="F308" t="str">
            <v>272±1</v>
          </cell>
        </row>
        <row r="309">
          <cell r="A309" t="str">
            <v>TA1950</v>
          </cell>
          <cell r="B309" t="str">
            <v>23273-0L120</v>
          </cell>
          <cell r="C309">
            <v>7.6</v>
          </cell>
          <cell r="D309">
            <v>14</v>
          </cell>
          <cell r="E309">
            <v>627</v>
          </cell>
          <cell r="F309" t="str">
            <v>606±3</v>
          </cell>
        </row>
        <row r="310">
          <cell r="A310" t="str">
            <v>TA1980</v>
          </cell>
          <cell r="B310" t="str">
            <v>17341-0Y080</v>
          </cell>
          <cell r="C310">
            <v>7.5</v>
          </cell>
          <cell r="D310">
            <v>16</v>
          </cell>
          <cell r="E310">
            <v>667</v>
          </cell>
          <cell r="F310" t="str">
            <v>653±4</v>
          </cell>
        </row>
        <row r="311">
          <cell r="A311" t="str">
            <v>TA198A</v>
          </cell>
          <cell r="B311" t="str">
            <v>17341-0Y081</v>
          </cell>
          <cell r="C311">
            <v>7.5</v>
          </cell>
          <cell r="D311">
            <v>16</v>
          </cell>
          <cell r="E311">
            <v>682</v>
          </cell>
          <cell r="F311" t="str">
            <v>668±4</v>
          </cell>
        </row>
        <row r="312">
          <cell r="A312" t="str">
            <v>TA199A</v>
          </cell>
          <cell r="B312" t="str">
            <v>17343-0Y021</v>
          </cell>
          <cell r="C312">
            <v>7.5</v>
          </cell>
          <cell r="D312">
            <v>16</v>
          </cell>
          <cell r="E312">
            <v>492</v>
          </cell>
          <cell r="F312" t="str">
            <v>481±3</v>
          </cell>
        </row>
        <row r="313">
          <cell r="A313" t="str">
            <v>TA2005</v>
          </cell>
          <cell r="B313" t="str">
            <v>17342-0Y090</v>
          </cell>
          <cell r="C313">
            <v>7.5</v>
          </cell>
          <cell r="D313">
            <v>16</v>
          </cell>
          <cell r="E313">
            <v>373</v>
          </cell>
          <cell r="F313" t="str">
            <v>364±2</v>
          </cell>
        </row>
        <row r="314">
          <cell r="A314" t="str">
            <v>TA2521</v>
          </cell>
          <cell r="B314" t="str">
            <v>23273-0L132-A(1)</v>
          </cell>
          <cell r="C314">
            <v>7.6</v>
          </cell>
          <cell r="D314">
            <v>14</v>
          </cell>
          <cell r="E314">
            <v>376</v>
          </cell>
          <cell r="F314" t="str">
            <v>362±2</v>
          </cell>
        </row>
        <row r="315">
          <cell r="A315" t="str">
            <v>TA2522</v>
          </cell>
          <cell r="B315" t="str">
            <v>23273-0L132-A(2)</v>
          </cell>
          <cell r="C315">
            <v>7.6</v>
          </cell>
          <cell r="D315">
            <v>14</v>
          </cell>
          <cell r="E315">
            <v>366</v>
          </cell>
          <cell r="F315" t="str">
            <v>352±2</v>
          </cell>
        </row>
        <row r="316">
          <cell r="A316" t="str">
            <v>TA2531</v>
          </cell>
          <cell r="B316" t="str">
            <v>77259-KK010</v>
          </cell>
          <cell r="C316">
            <v>9.5</v>
          </cell>
          <cell r="D316">
            <v>16.5</v>
          </cell>
          <cell r="E316">
            <v>543</v>
          </cell>
          <cell r="F316" t="str">
            <v>530±5</v>
          </cell>
        </row>
        <row r="317">
          <cell r="A317" t="str">
            <v>TA2532</v>
          </cell>
          <cell r="B317" t="str">
            <v>23274-0L071</v>
          </cell>
          <cell r="C317">
            <v>7.6</v>
          </cell>
          <cell r="D317">
            <v>14</v>
          </cell>
          <cell r="E317">
            <v>554</v>
          </cell>
          <cell r="F317" t="str">
            <v>535±2</v>
          </cell>
        </row>
        <row r="318">
          <cell r="A318" t="str">
            <v>TA2541</v>
          </cell>
          <cell r="B318" t="str">
            <v>23273-0L191 (1)</v>
          </cell>
          <cell r="C318">
            <v>7.6</v>
          </cell>
          <cell r="D318">
            <v>14</v>
          </cell>
          <cell r="E318">
            <v>464</v>
          </cell>
          <cell r="F318" t="str">
            <v>441±2</v>
          </cell>
        </row>
        <row r="319">
          <cell r="A319" t="str">
            <v>TA2542</v>
          </cell>
          <cell r="B319" t="str">
            <v>23273-0L191 (2)</v>
          </cell>
          <cell r="C319">
            <v>7.6</v>
          </cell>
          <cell r="D319">
            <v>14</v>
          </cell>
          <cell r="E319">
            <v>356</v>
          </cell>
          <cell r="F319" t="str">
            <v>342±2</v>
          </cell>
        </row>
        <row r="320">
          <cell r="A320" t="str">
            <v>TA2551</v>
          </cell>
          <cell r="B320" t="str">
            <v>23273-0L221 (1)</v>
          </cell>
          <cell r="C320">
            <v>7.6</v>
          </cell>
          <cell r="D320">
            <v>14</v>
          </cell>
          <cell r="E320">
            <v>446</v>
          </cell>
          <cell r="F320" t="str">
            <v>430±2</v>
          </cell>
        </row>
        <row r="321">
          <cell r="A321" t="str">
            <v>TA2552</v>
          </cell>
          <cell r="B321" t="str">
            <v>23273-0L221 (2)</v>
          </cell>
          <cell r="C321">
            <v>7.6</v>
          </cell>
          <cell r="D321">
            <v>14</v>
          </cell>
          <cell r="E321">
            <v>423</v>
          </cell>
          <cell r="F321" t="str">
            <v>408±2</v>
          </cell>
        </row>
        <row r="322">
          <cell r="A322" t="str">
            <v>TA2580</v>
          </cell>
          <cell r="B322" t="str">
            <v>23271-0E041</v>
          </cell>
          <cell r="C322">
            <v>9.5</v>
          </cell>
          <cell r="D322">
            <v>16.5</v>
          </cell>
          <cell r="E322">
            <v>570</v>
          </cell>
          <cell r="F322" t="str">
            <v>558±2</v>
          </cell>
        </row>
        <row r="323">
          <cell r="A323" t="str">
            <v>TA2950</v>
          </cell>
          <cell r="B323" t="str">
            <v>17341-BZ040-H</v>
          </cell>
          <cell r="C323">
            <v>7.5</v>
          </cell>
          <cell r="D323">
            <v>16</v>
          </cell>
          <cell r="E323">
            <v>470</v>
          </cell>
          <cell r="F323" t="str">
            <v>462±2</v>
          </cell>
        </row>
        <row r="324">
          <cell r="A324" t="str">
            <v>TA2970</v>
          </cell>
          <cell r="B324" t="str">
            <v>G1271-907WL</v>
          </cell>
          <cell r="C324">
            <v>9.3000000000000007</v>
          </cell>
          <cell r="D324">
            <v>17.2</v>
          </cell>
          <cell r="E324">
            <v>262</v>
          </cell>
          <cell r="F324" t="str">
            <v>242±2</v>
          </cell>
        </row>
        <row r="325">
          <cell r="A325" t="str">
            <v>TA2980</v>
          </cell>
          <cell r="B325" t="str">
            <v>G1272-907WL</v>
          </cell>
          <cell r="C325">
            <v>9.3000000000000007</v>
          </cell>
          <cell r="D325">
            <v>17.2</v>
          </cell>
          <cell r="E325">
            <v>294</v>
          </cell>
          <cell r="F325" t="str">
            <v>270±2</v>
          </cell>
        </row>
        <row r="326">
          <cell r="A326" t="str">
            <v>HN0150</v>
          </cell>
          <cell r="B326" t="str">
            <v>44776-0W020</v>
          </cell>
          <cell r="C326">
            <v>8.73</v>
          </cell>
          <cell r="D326">
            <v>17.46</v>
          </cell>
          <cell r="E326">
            <v>320</v>
          </cell>
          <cell r="F326" t="str">
            <v>314-316</v>
          </cell>
        </row>
        <row r="327">
          <cell r="A327" t="str">
            <v>HN0160</v>
          </cell>
          <cell r="B327" t="str">
            <v>44776-0W030</v>
          </cell>
          <cell r="C327">
            <v>8.73</v>
          </cell>
          <cell r="D327">
            <v>17.46</v>
          </cell>
          <cell r="E327">
            <v>400</v>
          </cell>
          <cell r="F327" t="str">
            <v>392-395</v>
          </cell>
        </row>
        <row r="328">
          <cell r="A328" t="str">
            <v>HN0170</v>
          </cell>
          <cell r="B328" t="str">
            <v>44778-0W030</v>
          </cell>
          <cell r="C328">
            <v>8.73</v>
          </cell>
          <cell r="D328">
            <v>17.46</v>
          </cell>
          <cell r="E328">
            <v>259</v>
          </cell>
          <cell r="F328" t="str">
            <v>254-256</v>
          </cell>
        </row>
        <row r="329">
          <cell r="A329" t="str">
            <v>HN0240</v>
          </cell>
          <cell r="B329" t="str">
            <v>44773-0W030</v>
          </cell>
          <cell r="C329">
            <v>8.73</v>
          </cell>
          <cell r="D329">
            <v>17.46</v>
          </cell>
          <cell r="E329">
            <v>126</v>
          </cell>
          <cell r="F329" t="str">
            <v>121-125</v>
          </cell>
        </row>
        <row r="330">
          <cell r="A330" t="str">
            <v>HN0250</v>
          </cell>
          <cell r="B330" t="str">
            <v>44778-0W020</v>
          </cell>
          <cell r="C330">
            <v>8.73</v>
          </cell>
          <cell r="D330">
            <v>17.46</v>
          </cell>
          <cell r="E330">
            <v>162</v>
          </cell>
          <cell r="F330" t="str">
            <v>155-161</v>
          </cell>
        </row>
        <row r="331">
          <cell r="A331" t="str">
            <v>HN0490</v>
          </cell>
          <cell r="B331" t="str">
            <v>44776-F1010</v>
          </cell>
          <cell r="C331">
            <v>8.73</v>
          </cell>
          <cell r="D331">
            <v>17.46</v>
          </cell>
          <cell r="E331">
            <v>315</v>
          </cell>
          <cell r="F331" t="str">
            <v>309-311</v>
          </cell>
        </row>
        <row r="332">
          <cell r="A332" t="str">
            <v>HN0530</v>
          </cell>
          <cell r="B332" t="str">
            <v>44771-YX010</v>
          </cell>
          <cell r="C332">
            <v>8.73</v>
          </cell>
          <cell r="D332">
            <v>17.46</v>
          </cell>
          <cell r="E332">
            <v>430</v>
          </cell>
          <cell r="F332" t="str">
            <v>424-425</v>
          </cell>
        </row>
        <row r="333">
          <cell r="A333" t="str">
            <v>HN0540</v>
          </cell>
          <cell r="B333" t="str">
            <v>44771-F1010</v>
          </cell>
          <cell r="C333">
            <v>8.73</v>
          </cell>
          <cell r="D333">
            <v>17.46</v>
          </cell>
          <cell r="E333">
            <v>245</v>
          </cell>
          <cell r="F333" t="str">
            <v>240-242</v>
          </cell>
        </row>
        <row r="334">
          <cell r="A334" t="str">
            <v>HN0550</v>
          </cell>
          <cell r="B334" t="str">
            <v>44773-F1010</v>
          </cell>
          <cell r="C334">
            <v>8.73</v>
          </cell>
          <cell r="D334">
            <v>17.46</v>
          </cell>
          <cell r="E334">
            <v>195</v>
          </cell>
          <cell r="F334" t="str">
            <v>187-194</v>
          </cell>
        </row>
        <row r="335">
          <cell r="A335" t="str">
            <v>HN0560</v>
          </cell>
          <cell r="B335" t="str">
            <v>44773-F1020</v>
          </cell>
          <cell r="C335">
            <v>8.73</v>
          </cell>
          <cell r="D335">
            <v>17.46</v>
          </cell>
          <cell r="E335">
            <v>135</v>
          </cell>
          <cell r="F335" t="str">
            <v>129-134</v>
          </cell>
        </row>
        <row r="336">
          <cell r="A336" t="str">
            <v>HN0590</v>
          </cell>
          <cell r="B336" t="str">
            <v>44771-F1020</v>
          </cell>
          <cell r="C336">
            <v>8.73</v>
          </cell>
          <cell r="D336">
            <v>17.46</v>
          </cell>
          <cell r="E336">
            <v>418</v>
          </cell>
          <cell r="F336" t="str">
            <v>412-413</v>
          </cell>
        </row>
        <row r="337">
          <cell r="A337" t="str">
            <v>PM1090</v>
          </cell>
          <cell r="B337">
            <v>8982591170</v>
          </cell>
          <cell r="C337">
            <v>8.73</v>
          </cell>
          <cell r="D337">
            <v>17.46</v>
          </cell>
          <cell r="E337">
            <v>381</v>
          </cell>
          <cell r="F337" t="str">
            <v>373-376</v>
          </cell>
        </row>
        <row r="338">
          <cell r="A338" t="str">
            <v>TA0500</v>
          </cell>
          <cell r="B338" t="str">
            <v>44770-0D200</v>
          </cell>
          <cell r="C338">
            <v>8.73</v>
          </cell>
          <cell r="D338">
            <v>17.46</v>
          </cell>
          <cell r="E338">
            <v>402</v>
          </cell>
          <cell r="F338" t="str">
            <v>396-397</v>
          </cell>
        </row>
        <row r="339">
          <cell r="A339" t="str">
            <v>TA0801</v>
          </cell>
          <cell r="B339" t="str">
            <v>44771-KK050</v>
          </cell>
          <cell r="C339">
            <v>8.73</v>
          </cell>
          <cell r="D339">
            <v>17.46</v>
          </cell>
          <cell r="E339">
            <v>150</v>
          </cell>
          <cell r="F339" t="str">
            <v>144-149</v>
          </cell>
        </row>
        <row r="340">
          <cell r="A340" t="str">
            <v>TA0802</v>
          </cell>
          <cell r="B340" t="str">
            <v>44771-KK060</v>
          </cell>
          <cell r="C340">
            <v>8.73</v>
          </cell>
          <cell r="D340">
            <v>17.46</v>
          </cell>
          <cell r="E340">
            <v>135</v>
          </cell>
          <cell r="F340" t="str">
            <v>129-134</v>
          </cell>
        </row>
        <row r="341">
          <cell r="A341" t="str">
            <v>TA0803</v>
          </cell>
          <cell r="B341" t="str">
            <v>44772-KK100</v>
          </cell>
          <cell r="C341">
            <v>8.73</v>
          </cell>
          <cell r="D341">
            <v>17.46</v>
          </cell>
          <cell r="E341">
            <v>147</v>
          </cell>
          <cell r="F341" t="str">
            <v>141-146</v>
          </cell>
        </row>
        <row r="342">
          <cell r="A342" t="str">
            <v>TA0812</v>
          </cell>
          <cell r="B342" t="str">
            <v>44771-KK020</v>
          </cell>
          <cell r="C342">
            <v>8.73</v>
          </cell>
          <cell r="D342">
            <v>17.46</v>
          </cell>
          <cell r="E342">
            <v>146</v>
          </cell>
          <cell r="F342" t="str">
            <v>140-145</v>
          </cell>
        </row>
        <row r="343">
          <cell r="A343" t="str">
            <v>TA0813</v>
          </cell>
          <cell r="B343" t="str">
            <v>44771-KK030</v>
          </cell>
          <cell r="C343">
            <v>8.73</v>
          </cell>
          <cell r="D343">
            <v>17.46</v>
          </cell>
          <cell r="E343">
            <v>253</v>
          </cell>
          <cell r="F343" t="str">
            <v>248-250</v>
          </cell>
        </row>
        <row r="344">
          <cell r="A344" t="str">
            <v>TA1070</v>
          </cell>
          <cell r="B344" t="str">
            <v>44772-KK110</v>
          </cell>
          <cell r="C344">
            <v>8.73</v>
          </cell>
          <cell r="D344">
            <v>17.46</v>
          </cell>
          <cell r="E344">
            <v>243</v>
          </cell>
          <cell r="F344" t="str">
            <v>238-240</v>
          </cell>
        </row>
        <row r="345">
          <cell r="A345" t="str">
            <v>TA1130</v>
          </cell>
          <cell r="B345" t="str">
            <v>44774-KK050</v>
          </cell>
          <cell r="C345">
            <v>8.73</v>
          </cell>
          <cell r="D345">
            <v>17.46</v>
          </cell>
          <cell r="E345">
            <v>633</v>
          </cell>
          <cell r="F345" t="str">
            <v>624-625</v>
          </cell>
        </row>
        <row r="346">
          <cell r="A346" t="str">
            <v>TA1150</v>
          </cell>
          <cell r="B346" t="str">
            <v>44772-KK090</v>
          </cell>
          <cell r="C346">
            <v>8.73</v>
          </cell>
          <cell r="D346">
            <v>17.46</v>
          </cell>
          <cell r="E346">
            <v>243</v>
          </cell>
          <cell r="F346" t="str">
            <v>238-240</v>
          </cell>
        </row>
        <row r="347">
          <cell r="A347" t="str">
            <v>TA1170</v>
          </cell>
          <cell r="B347" t="str">
            <v>44774-KK090</v>
          </cell>
          <cell r="C347">
            <v>8.73</v>
          </cell>
          <cell r="D347">
            <v>17.46</v>
          </cell>
          <cell r="E347">
            <v>279</v>
          </cell>
          <cell r="F347" t="str">
            <v>273-276</v>
          </cell>
        </row>
        <row r="348">
          <cell r="A348" t="str">
            <v>TA1190</v>
          </cell>
          <cell r="B348" t="str">
            <v>44772-KK130</v>
          </cell>
          <cell r="C348">
            <v>8.73</v>
          </cell>
          <cell r="D348">
            <v>17.46</v>
          </cell>
          <cell r="E348">
            <v>157</v>
          </cell>
          <cell r="F348" t="str">
            <v>150-156</v>
          </cell>
        </row>
        <row r="349">
          <cell r="A349" t="str">
            <v>TA1240</v>
          </cell>
          <cell r="B349" t="str">
            <v>44772-KK070</v>
          </cell>
          <cell r="C349">
            <v>8.73</v>
          </cell>
          <cell r="D349">
            <v>17.46</v>
          </cell>
          <cell r="E349">
            <v>168</v>
          </cell>
          <cell r="F349" t="str">
            <v>161-167</v>
          </cell>
        </row>
        <row r="350">
          <cell r="A350" t="str">
            <v>TA1250</v>
          </cell>
          <cell r="B350" t="str">
            <v>44772-KK010</v>
          </cell>
          <cell r="C350">
            <v>8.73</v>
          </cell>
          <cell r="D350">
            <v>17.46</v>
          </cell>
          <cell r="E350">
            <v>173</v>
          </cell>
          <cell r="F350" t="str">
            <v>166-172</v>
          </cell>
        </row>
        <row r="351">
          <cell r="A351" t="str">
            <v>TA1410</v>
          </cell>
          <cell r="B351" t="str">
            <v>44774-KK020</v>
          </cell>
          <cell r="C351">
            <v>8.73</v>
          </cell>
          <cell r="D351">
            <v>17.46</v>
          </cell>
          <cell r="E351">
            <v>332</v>
          </cell>
          <cell r="F351" t="str">
            <v>325-328</v>
          </cell>
        </row>
        <row r="352">
          <cell r="A352" t="str">
            <v>TA1541</v>
          </cell>
          <cell r="B352" t="str">
            <v>44774-KK070</v>
          </cell>
          <cell r="C352">
            <v>8.73</v>
          </cell>
          <cell r="D352">
            <v>17.46</v>
          </cell>
          <cell r="E352">
            <v>359</v>
          </cell>
          <cell r="F352" t="str">
            <v>352-355</v>
          </cell>
        </row>
        <row r="353">
          <cell r="A353" t="str">
            <v>TA1542</v>
          </cell>
          <cell r="B353" t="str">
            <v>44773-KK030</v>
          </cell>
          <cell r="C353">
            <v>8.73</v>
          </cell>
          <cell r="D353">
            <v>17.46</v>
          </cell>
          <cell r="E353">
            <v>172</v>
          </cell>
          <cell r="F353" t="str">
            <v>165-171</v>
          </cell>
        </row>
        <row r="354">
          <cell r="A354" t="str">
            <v>TA1552</v>
          </cell>
          <cell r="B354" t="str">
            <v>44772-KK040</v>
          </cell>
          <cell r="C354">
            <v>8.73</v>
          </cell>
          <cell r="D354">
            <v>17.46</v>
          </cell>
          <cell r="E354">
            <v>168</v>
          </cell>
          <cell r="F354" t="str">
            <v>161-167</v>
          </cell>
        </row>
        <row r="355">
          <cell r="A355" t="str">
            <v>TA1553</v>
          </cell>
          <cell r="B355" t="str">
            <v>44772-KK020</v>
          </cell>
          <cell r="C355">
            <v>8.73</v>
          </cell>
          <cell r="D355">
            <v>17.46</v>
          </cell>
          <cell r="E355">
            <v>255</v>
          </cell>
          <cell r="F355" t="str">
            <v>250-252</v>
          </cell>
        </row>
        <row r="356">
          <cell r="A356" t="str">
            <v>TA1554</v>
          </cell>
          <cell r="B356" t="str">
            <v>44772-KK030</v>
          </cell>
          <cell r="C356">
            <v>8.73</v>
          </cell>
          <cell r="D356">
            <v>17.46</v>
          </cell>
          <cell r="E356">
            <v>257</v>
          </cell>
          <cell r="F356" t="str">
            <v>252-254</v>
          </cell>
        </row>
        <row r="357">
          <cell r="A357" t="str">
            <v>TA1562</v>
          </cell>
          <cell r="B357" t="str">
            <v>44771-KK070</v>
          </cell>
          <cell r="C357">
            <v>8.73</v>
          </cell>
          <cell r="D357">
            <v>17.46</v>
          </cell>
          <cell r="E357">
            <v>178</v>
          </cell>
          <cell r="F357" t="str">
            <v>170-177</v>
          </cell>
        </row>
        <row r="358">
          <cell r="A358" t="str">
            <v>TA1563</v>
          </cell>
          <cell r="B358" t="str">
            <v>44772-KK020</v>
          </cell>
          <cell r="C358">
            <v>8.73</v>
          </cell>
          <cell r="D358">
            <v>17.46</v>
          </cell>
          <cell r="E358">
            <v>255</v>
          </cell>
          <cell r="F358" t="str">
            <v>250-252</v>
          </cell>
        </row>
        <row r="359">
          <cell r="A359" t="str">
            <v>TA1564</v>
          </cell>
          <cell r="B359" t="str">
            <v>44772-KK030</v>
          </cell>
          <cell r="C359">
            <v>8.73</v>
          </cell>
          <cell r="D359">
            <v>17.46</v>
          </cell>
          <cell r="E359">
            <v>257</v>
          </cell>
          <cell r="F359" t="str">
            <v>252-254</v>
          </cell>
        </row>
        <row r="360">
          <cell r="A360" t="str">
            <v>TA1571</v>
          </cell>
          <cell r="B360" t="str">
            <v>44774-KK040</v>
          </cell>
          <cell r="C360">
            <v>8.73</v>
          </cell>
          <cell r="D360">
            <v>17.46</v>
          </cell>
          <cell r="E360">
            <v>319</v>
          </cell>
          <cell r="F360" t="str">
            <v>313-315</v>
          </cell>
        </row>
        <row r="361">
          <cell r="A361" t="str">
            <v>TA1572</v>
          </cell>
          <cell r="B361" t="str">
            <v>44773-KK030</v>
          </cell>
          <cell r="C361">
            <v>8.73</v>
          </cell>
          <cell r="D361">
            <v>17.46</v>
          </cell>
          <cell r="E361">
            <v>172</v>
          </cell>
          <cell r="F361" t="str">
            <v>165-171</v>
          </cell>
        </row>
        <row r="362">
          <cell r="A362" t="str">
            <v>TA1581</v>
          </cell>
          <cell r="B362" t="str">
            <v>44774-KK080</v>
          </cell>
          <cell r="C362">
            <v>8.73</v>
          </cell>
          <cell r="D362">
            <v>17.46</v>
          </cell>
          <cell r="E362">
            <v>306</v>
          </cell>
          <cell r="F362" t="str">
            <v>300-302</v>
          </cell>
        </row>
        <row r="363">
          <cell r="A363" t="str">
            <v>TA1582</v>
          </cell>
          <cell r="B363" t="str">
            <v>44773-KK030</v>
          </cell>
          <cell r="C363">
            <v>8.73</v>
          </cell>
          <cell r="D363">
            <v>17.46</v>
          </cell>
          <cell r="E363">
            <v>172</v>
          </cell>
          <cell r="F363" t="str">
            <v>165-171</v>
          </cell>
        </row>
        <row r="364">
          <cell r="A364" t="str">
            <v>TA1600</v>
          </cell>
          <cell r="B364" t="str">
            <v>44772-KK080</v>
          </cell>
          <cell r="C364">
            <v>8.73</v>
          </cell>
          <cell r="D364">
            <v>17.46</v>
          </cell>
          <cell r="E364">
            <v>330</v>
          </cell>
          <cell r="F364" t="str">
            <v>323-326</v>
          </cell>
        </row>
        <row r="365">
          <cell r="A365" t="str">
            <v>TA1610</v>
          </cell>
          <cell r="B365" t="str">
            <v>44772-KK120</v>
          </cell>
          <cell r="C365">
            <v>8.73</v>
          </cell>
          <cell r="D365">
            <v>17.46</v>
          </cell>
          <cell r="E365">
            <v>198</v>
          </cell>
          <cell r="F365" t="str">
            <v>189-197</v>
          </cell>
        </row>
        <row r="366">
          <cell r="A366" t="str">
            <v>TA1620</v>
          </cell>
          <cell r="B366" t="str">
            <v>44773-KK020</v>
          </cell>
          <cell r="C366">
            <v>8.73</v>
          </cell>
          <cell r="D366">
            <v>17.46</v>
          </cell>
          <cell r="E366">
            <v>458</v>
          </cell>
          <cell r="F366" t="str">
            <v>451-453</v>
          </cell>
        </row>
        <row r="367">
          <cell r="A367" t="str">
            <v>TA1630</v>
          </cell>
          <cell r="B367" t="str">
            <v>44774-0K020</v>
          </cell>
          <cell r="C367">
            <v>8.73</v>
          </cell>
          <cell r="D367">
            <v>17.46</v>
          </cell>
          <cell r="E367">
            <v>229</v>
          </cell>
          <cell r="F367" t="str">
            <v>224-226</v>
          </cell>
        </row>
        <row r="368">
          <cell r="A368" t="str">
            <v>TA1640</v>
          </cell>
          <cell r="B368" t="str">
            <v>44774-KK010</v>
          </cell>
          <cell r="C368">
            <v>8.73</v>
          </cell>
          <cell r="D368">
            <v>17.46</v>
          </cell>
          <cell r="E368">
            <v>504</v>
          </cell>
          <cell r="F368" t="str">
            <v>496-498</v>
          </cell>
        </row>
        <row r="369">
          <cell r="A369" t="str">
            <v>TA1650</v>
          </cell>
          <cell r="B369" t="str">
            <v>44776-KK020</v>
          </cell>
          <cell r="C369">
            <v>8.73</v>
          </cell>
          <cell r="D369">
            <v>17.46</v>
          </cell>
          <cell r="E369">
            <v>269</v>
          </cell>
          <cell r="F369" t="str">
            <v>264-266</v>
          </cell>
        </row>
        <row r="370">
          <cell r="A370" t="str">
            <v>TA2001</v>
          </cell>
          <cell r="B370" t="str">
            <v>44772-0D470</v>
          </cell>
          <cell r="C370">
            <v>8.73</v>
          </cell>
          <cell r="D370">
            <v>17.46</v>
          </cell>
          <cell r="E370">
            <v>136</v>
          </cell>
          <cell r="F370" t="str">
            <v>130-135</v>
          </cell>
        </row>
        <row r="371">
          <cell r="A371" t="str">
            <v>TA2002</v>
          </cell>
          <cell r="B371" t="str">
            <v>44772-0D480</v>
          </cell>
          <cell r="C371">
            <v>8.73</v>
          </cell>
          <cell r="D371">
            <v>17.46</v>
          </cell>
          <cell r="E371">
            <v>136</v>
          </cell>
          <cell r="F371" t="str">
            <v>130-135</v>
          </cell>
        </row>
        <row r="372">
          <cell r="A372" t="str">
            <v>TA2003</v>
          </cell>
          <cell r="B372" t="str">
            <v>44771-0D230</v>
          </cell>
          <cell r="C372">
            <v>8.73</v>
          </cell>
          <cell r="D372">
            <v>17.46</v>
          </cell>
          <cell r="E372">
            <v>174</v>
          </cell>
          <cell r="F372" t="str">
            <v>167-173</v>
          </cell>
        </row>
        <row r="373">
          <cell r="A373" t="str">
            <v>TA2004</v>
          </cell>
          <cell r="B373" t="str">
            <v>44771-0D220</v>
          </cell>
          <cell r="C373">
            <v>8.73</v>
          </cell>
          <cell r="D373">
            <v>17.46</v>
          </cell>
          <cell r="E373">
            <v>208</v>
          </cell>
          <cell r="F373" t="str">
            <v>204-206</v>
          </cell>
        </row>
        <row r="374">
          <cell r="A374" t="str">
            <v>TA2010</v>
          </cell>
          <cell r="B374" t="str">
            <v>44772-0D460</v>
          </cell>
          <cell r="C374">
            <v>8.73</v>
          </cell>
          <cell r="D374">
            <v>17.46</v>
          </cell>
          <cell r="E374">
            <v>130</v>
          </cell>
          <cell r="F374" t="str">
            <v>124-129</v>
          </cell>
        </row>
        <row r="375">
          <cell r="A375" t="str">
            <v>TA2020</v>
          </cell>
          <cell r="B375" t="str">
            <v>44770-0D170</v>
          </cell>
          <cell r="C375">
            <v>8.73</v>
          </cell>
          <cell r="D375">
            <v>17.46</v>
          </cell>
          <cell r="E375">
            <v>286</v>
          </cell>
          <cell r="F375" t="str">
            <v>280-283</v>
          </cell>
        </row>
        <row r="376">
          <cell r="A376" t="str">
            <v>TA2030</v>
          </cell>
          <cell r="B376" t="str">
            <v>44770-0D180</v>
          </cell>
          <cell r="C376">
            <v>8.73</v>
          </cell>
          <cell r="D376">
            <v>17.46</v>
          </cell>
          <cell r="E376">
            <v>350</v>
          </cell>
          <cell r="F376" t="str">
            <v>343-346</v>
          </cell>
        </row>
        <row r="377">
          <cell r="A377" t="str">
            <v>TA2721</v>
          </cell>
          <cell r="B377" t="str">
            <v>44772-VT010</v>
          </cell>
          <cell r="C377">
            <v>8.73</v>
          </cell>
          <cell r="D377">
            <v>17.46</v>
          </cell>
          <cell r="E377">
            <v>165</v>
          </cell>
          <cell r="F377" t="str">
            <v>158-164</v>
          </cell>
        </row>
        <row r="378">
          <cell r="A378" t="str">
            <v>TA2722</v>
          </cell>
          <cell r="B378" t="str">
            <v>44774-VT010</v>
          </cell>
          <cell r="C378">
            <v>8.73</v>
          </cell>
          <cell r="D378">
            <v>17.46</v>
          </cell>
          <cell r="E378">
            <v>405</v>
          </cell>
          <cell r="F378" t="str">
            <v>399-400</v>
          </cell>
        </row>
        <row r="379">
          <cell r="A379" t="str">
            <v>TA2730</v>
          </cell>
          <cell r="B379" t="str">
            <v>44774-VT020</v>
          </cell>
          <cell r="C379">
            <v>8.73</v>
          </cell>
          <cell r="D379">
            <v>17.46</v>
          </cell>
          <cell r="E379">
            <v>530</v>
          </cell>
          <cell r="F379" t="str">
            <v>522-524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B4" t="str">
            <v>TA2521</v>
          </cell>
          <cell r="C4" t="str">
            <v>TA2520</v>
          </cell>
          <cell r="D4" t="str">
            <v>CHS3L</v>
          </cell>
          <cell r="E4">
            <v>1</v>
          </cell>
          <cell r="F4">
            <v>19</v>
          </cell>
        </row>
        <row r="5">
          <cell r="B5" t="str">
            <v>TA2522</v>
          </cell>
          <cell r="C5" t="str">
            <v>TA2520</v>
          </cell>
          <cell r="D5" t="str">
            <v>CHS3L</v>
          </cell>
          <cell r="E5">
            <v>1</v>
          </cell>
          <cell r="F5">
            <v>19</v>
          </cell>
        </row>
        <row r="6">
          <cell r="B6" t="str">
            <v>TA2541</v>
          </cell>
          <cell r="C6" t="str">
            <v>TA2540</v>
          </cell>
          <cell r="D6" t="str">
            <v>CHS3L</v>
          </cell>
          <cell r="E6">
            <v>1</v>
          </cell>
          <cell r="F6">
            <v>9</v>
          </cell>
        </row>
        <row r="7">
          <cell r="B7" t="str">
            <v>TA2551</v>
          </cell>
          <cell r="C7" t="str">
            <v>TA2550</v>
          </cell>
          <cell r="D7" t="str">
            <v>CHS3L</v>
          </cell>
          <cell r="E7">
            <v>1</v>
          </cell>
          <cell r="F7">
            <v>11</v>
          </cell>
        </row>
        <row r="8">
          <cell r="B8" t="str">
            <v>TA2552</v>
          </cell>
          <cell r="C8" t="str">
            <v>TA2550</v>
          </cell>
          <cell r="D8" t="str">
            <v>CHS3L</v>
          </cell>
          <cell r="E8">
            <v>1</v>
          </cell>
          <cell r="F8">
            <v>11</v>
          </cell>
        </row>
        <row r="9">
          <cell r="B9" t="str">
            <v>TA1742</v>
          </cell>
          <cell r="C9">
            <v>0</v>
          </cell>
          <cell r="D9" t="str">
            <v>CHS3L</v>
          </cell>
          <cell r="E9">
            <v>0</v>
          </cell>
          <cell r="F9">
            <v>0</v>
          </cell>
        </row>
        <row r="10">
          <cell r="B10" t="str">
            <v>TA2542</v>
          </cell>
          <cell r="C10" t="str">
            <v>TA2540</v>
          </cell>
          <cell r="D10" t="str">
            <v>CHS3L</v>
          </cell>
          <cell r="E10">
            <v>1</v>
          </cell>
          <cell r="F10">
            <v>9</v>
          </cell>
        </row>
        <row r="11">
          <cell r="B11" t="str">
            <v>TA1731</v>
          </cell>
          <cell r="C11" t="str">
            <v>TA1730</v>
          </cell>
          <cell r="D11" t="str">
            <v>CHS3L</v>
          </cell>
          <cell r="E11">
            <v>1</v>
          </cell>
          <cell r="F11">
            <v>9</v>
          </cell>
        </row>
        <row r="12">
          <cell r="B12" t="str">
            <v>TA1941</v>
          </cell>
          <cell r="C12" t="str">
            <v>TA1940</v>
          </cell>
          <cell r="D12" t="str">
            <v>CHS3L</v>
          </cell>
          <cell r="E12">
            <v>0</v>
          </cell>
          <cell r="F12">
            <v>18</v>
          </cell>
        </row>
        <row r="13">
          <cell r="B13" t="str">
            <v>TA1942</v>
          </cell>
          <cell r="C13" t="str">
            <v>TA1940</v>
          </cell>
          <cell r="D13" t="str">
            <v>CHS3L</v>
          </cell>
          <cell r="E13">
            <v>0</v>
          </cell>
          <cell r="F13">
            <v>18</v>
          </cell>
        </row>
        <row r="14">
          <cell r="B14" t="str">
            <v>TA1950</v>
          </cell>
          <cell r="C14">
            <v>0</v>
          </cell>
          <cell r="D14" t="str">
            <v>CHS3L</v>
          </cell>
          <cell r="E14">
            <v>0</v>
          </cell>
          <cell r="F14">
            <v>0</v>
          </cell>
        </row>
        <row r="15">
          <cell r="B15" t="str">
            <v>TA1722</v>
          </cell>
          <cell r="C15">
            <v>0</v>
          </cell>
          <cell r="D15" t="str">
            <v>CHS3L</v>
          </cell>
          <cell r="E15">
            <v>0</v>
          </cell>
          <cell r="F15">
            <v>0</v>
          </cell>
        </row>
        <row r="16">
          <cell r="B16" t="str">
            <v>TA2532</v>
          </cell>
          <cell r="C16" t="str">
            <v>TA2530</v>
          </cell>
          <cell r="D16" t="str">
            <v>CHS3L</v>
          </cell>
          <cell r="E16">
            <v>1</v>
          </cell>
          <cell r="F16">
            <v>9</v>
          </cell>
        </row>
        <row r="17">
          <cell r="B17" t="str">
            <v>TA0804</v>
          </cell>
          <cell r="C17" t="str">
            <v>TA0800</v>
          </cell>
          <cell r="D17" t="str">
            <v>CHS3L</v>
          </cell>
          <cell r="E17">
            <v>0</v>
          </cell>
          <cell r="F17">
            <v>18</v>
          </cell>
        </row>
        <row r="18">
          <cell r="B18" t="str">
            <v>TA1800</v>
          </cell>
          <cell r="C18" t="str">
            <v>TA1800</v>
          </cell>
          <cell r="D18" t="str">
            <v>CHS3L</v>
          </cell>
          <cell r="E18">
            <v>0</v>
          </cell>
          <cell r="F18">
            <v>0</v>
          </cell>
        </row>
        <row r="19">
          <cell r="B19" t="str">
            <v>TA0811</v>
          </cell>
          <cell r="C19" t="str">
            <v>TA0810</v>
          </cell>
          <cell r="D19" t="str">
            <v>CHS3L</v>
          </cell>
          <cell r="E19">
            <v>0</v>
          </cell>
          <cell r="F19">
            <v>18</v>
          </cell>
        </row>
        <row r="20">
          <cell r="B20" t="str">
            <v>TA121A</v>
          </cell>
          <cell r="C20" t="str">
            <v>TA121a</v>
          </cell>
          <cell r="D20" t="str">
            <v>CHS3L</v>
          </cell>
          <cell r="E20">
            <v>1</v>
          </cell>
          <cell r="F20">
            <v>7</v>
          </cell>
        </row>
        <row r="21">
          <cell r="B21" t="str">
            <v>TA136A</v>
          </cell>
          <cell r="C21" t="str">
            <v>TA136a</v>
          </cell>
          <cell r="D21" t="str">
            <v>CHS3L</v>
          </cell>
          <cell r="E21">
            <v>1</v>
          </cell>
          <cell r="F21">
            <v>6</v>
          </cell>
        </row>
        <row r="22">
          <cell r="B22" t="str">
            <v>TA148A</v>
          </cell>
          <cell r="C22" t="str">
            <v>TA148A</v>
          </cell>
          <cell r="D22" t="str">
            <v>CHS3L</v>
          </cell>
          <cell r="E22">
            <v>2</v>
          </cell>
          <cell r="F22">
            <v>11</v>
          </cell>
        </row>
        <row r="23">
          <cell r="B23" t="str">
            <v>TA1561</v>
          </cell>
          <cell r="C23" t="str">
            <v>TA1560</v>
          </cell>
          <cell r="D23" t="str">
            <v>CHS3L</v>
          </cell>
          <cell r="E23">
            <v>1</v>
          </cell>
          <cell r="F23">
            <v>18</v>
          </cell>
        </row>
        <row r="24">
          <cell r="B24" t="str">
            <v>TA1551</v>
          </cell>
          <cell r="C24" t="str">
            <v>TA1550</v>
          </cell>
          <cell r="D24" t="str">
            <v>CHS3L</v>
          </cell>
          <cell r="E24">
            <v>1</v>
          </cell>
          <cell r="F24">
            <v>18</v>
          </cell>
        </row>
        <row r="25">
          <cell r="B25" t="str">
            <v>TA1810</v>
          </cell>
          <cell r="C25" t="str">
            <v>TA1810</v>
          </cell>
          <cell r="D25" t="str">
            <v>CHS3L</v>
          </cell>
          <cell r="E25">
            <v>0</v>
          </cell>
          <cell r="F25">
            <v>7</v>
          </cell>
        </row>
        <row r="26">
          <cell r="B26" t="str">
            <v>NA2990</v>
          </cell>
          <cell r="C26" t="str">
            <v>NA2990</v>
          </cell>
          <cell r="D26" t="str">
            <v>CHS3L</v>
          </cell>
          <cell r="E26">
            <v>1</v>
          </cell>
          <cell r="F26">
            <v>5</v>
          </cell>
        </row>
        <row r="27">
          <cell r="B27" t="str">
            <v>HN0580</v>
          </cell>
          <cell r="C27" t="str">
            <v>HN0580</v>
          </cell>
          <cell r="D27" t="str">
            <v>CHS3L</v>
          </cell>
          <cell r="E27">
            <v>1</v>
          </cell>
          <cell r="F27">
            <v>18</v>
          </cell>
        </row>
        <row r="28">
          <cell r="B28" t="str">
            <v>TA198A</v>
          </cell>
          <cell r="C28" t="str">
            <v>TA198A</v>
          </cell>
          <cell r="D28" t="str">
            <v>CHS3L</v>
          </cell>
          <cell r="E28">
            <v>2</v>
          </cell>
          <cell r="F28">
            <v>4</v>
          </cell>
        </row>
        <row r="29">
          <cell r="B29" t="str">
            <v>TA198A RPR</v>
          </cell>
          <cell r="C29">
            <v>0</v>
          </cell>
          <cell r="D29" t="str">
            <v>CHS3L</v>
          </cell>
          <cell r="E29">
            <v>0</v>
          </cell>
          <cell r="F29">
            <v>0</v>
          </cell>
        </row>
        <row r="30">
          <cell r="B30" t="str">
            <v>TA1810 RPR</v>
          </cell>
          <cell r="C30">
            <v>0</v>
          </cell>
          <cell r="D30" t="str">
            <v>CHS3L</v>
          </cell>
          <cell r="E30">
            <v>0</v>
          </cell>
          <cell r="F30">
            <v>0</v>
          </cell>
        </row>
        <row r="31">
          <cell r="B31" t="str">
            <v>TA199A</v>
          </cell>
          <cell r="C31" t="str">
            <v>TA199A</v>
          </cell>
          <cell r="D31" t="str">
            <v>CHS3L</v>
          </cell>
          <cell r="E31">
            <v>1</v>
          </cell>
          <cell r="F31">
            <v>9</v>
          </cell>
        </row>
        <row r="32">
          <cell r="B32" t="str">
            <v>TA2005</v>
          </cell>
          <cell r="C32" t="str">
            <v>TA2000</v>
          </cell>
          <cell r="D32" t="str">
            <v>CHS3L</v>
          </cell>
          <cell r="E32">
            <v>0</v>
          </cell>
          <cell r="F32">
            <v>0</v>
          </cell>
        </row>
        <row r="33">
          <cell r="B33" t="str">
            <v>TA1630</v>
          </cell>
          <cell r="C33">
            <v>0</v>
          </cell>
          <cell r="D33" t="str">
            <v>CHS3L</v>
          </cell>
          <cell r="E33">
            <v>0</v>
          </cell>
          <cell r="F33">
            <v>0</v>
          </cell>
        </row>
        <row r="34">
          <cell r="B34" t="str">
            <v>TA0801</v>
          </cell>
          <cell r="C34" t="str">
            <v>TA0800</v>
          </cell>
          <cell r="D34" t="str">
            <v>CHS3L</v>
          </cell>
          <cell r="E34">
            <v>0</v>
          </cell>
          <cell r="F34">
            <v>18</v>
          </cell>
        </row>
        <row r="35">
          <cell r="B35" t="str">
            <v>TA0802</v>
          </cell>
          <cell r="C35" t="str">
            <v>TA0800</v>
          </cell>
          <cell r="D35" t="str">
            <v>CHS3L</v>
          </cell>
          <cell r="E35">
            <v>0</v>
          </cell>
          <cell r="F35">
            <v>18</v>
          </cell>
        </row>
        <row r="36">
          <cell r="B36" t="str">
            <v>TA0803</v>
          </cell>
          <cell r="C36" t="str">
            <v>TA0800</v>
          </cell>
          <cell r="D36" t="str">
            <v>CHS3L</v>
          </cell>
          <cell r="E36">
            <v>0</v>
          </cell>
          <cell r="F36">
            <v>18</v>
          </cell>
        </row>
        <row r="37">
          <cell r="B37" t="str">
            <v>TA0812</v>
          </cell>
          <cell r="C37" t="str">
            <v>TA0810</v>
          </cell>
          <cell r="D37" t="str">
            <v>CHS3L</v>
          </cell>
          <cell r="E37">
            <v>0</v>
          </cell>
          <cell r="F37">
            <v>18</v>
          </cell>
        </row>
        <row r="38">
          <cell r="B38" t="str">
            <v>TA0813</v>
          </cell>
          <cell r="C38" t="str">
            <v>TA0810</v>
          </cell>
          <cell r="D38" t="str">
            <v>CHS3L</v>
          </cell>
          <cell r="E38">
            <v>0</v>
          </cell>
          <cell r="F38">
            <v>18</v>
          </cell>
        </row>
        <row r="39">
          <cell r="B39" t="str">
            <v>TA1070</v>
          </cell>
          <cell r="C39" t="str">
            <v>TA1070</v>
          </cell>
          <cell r="D39" t="str">
            <v>CHS3L</v>
          </cell>
          <cell r="E39">
            <v>2</v>
          </cell>
          <cell r="F39">
            <v>18</v>
          </cell>
        </row>
        <row r="40">
          <cell r="B40" t="str">
            <v>TA1410</v>
          </cell>
          <cell r="C40" t="str">
            <v>TA1410</v>
          </cell>
          <cell r="D40" t="str">
            <v>CHS3L</v>
          </cell>
          <cell r="E40">
            <v>2</v>
          </cell>
          <cell r="F40">
            <v>6</v>
          </cell>
        </row>
        <row r="41">
          <cell r="B41" t="str">
            <v>TA1130</v>
          </cell>
          <cell r="C41" t="str">
            <v>TA1130</v>
          </cell>
          <cell r="D41" t="str">
            <v>CHS3L</v>
          </cell>
          <cell r="E41">
            <v>2</v>
          </cell>
          <cell r="F41">
            <v>18</v>
          </cell>
        </row>
        <row r="42">
          <cell r="B42" t="str">
            <v>TA1150</v>
          </cell>
          <cell r="C42" t="str">
            <v>TA1150</v>
          </cell>
          <cell r="D42" t="str">
            <v>CHS3L</v>
          </cell>
          <cell r="E42">
            <v>1</v>
          </cell>
          <cell r="F42">
            <v>18</v>
          </cell>
        </row>
        <row r="43">
          <cell r="B43" t="str">
            <v>TA1170</v>
          </cell>
          <cell r="C43" t="str">
            <v>TA1170</v>
          </cell>
          <cell r="D43" t="str">
            <v>CHS3L</v>
          </cell>
          <cell r="E43">
            <v>2</v>
          </cell>
          <cell r="F43">
            <v>9</v>
          </cell>
        </row>
        <row r="44">
          <cell r="B44" t="str">
            <v>TA1190</v>
          </cell>
          <cell r="C44" t="str">
            <v>TA1190</v>
          </cell>
          <cell r="D44" t="str">
            <v>CHS3L</v>
          </cell>
          <cell r="E44">
            <v>2</v>
          </cell>
          <cell r="F44">
            <v>18</v>
          </cell>
        </row>
        <row r="45">
          <cell r="B45" t="str">
            <v>TA1240</v>
          </cell>
          <cell r="C45" t="str">
            <v>TA1240</v>
          </cell>
          <cell r="D45" t="str">
            <v>CHS3L</v>
          </cell>
          <cell r="E45">
            <v>2</v>
          </cell>
          <cell r="F45">
            <v>18</v>
          </cell>
        </row>
        <row r="46">
          <cell r="B46" t="str">
            <v>TA1250</v>
          </cell>
          <cell r="C46" t="str">
            <v>TA1250</v>
          </cell>
          <cell r="D46" t="str">
            <v>CHS3L</v>
          </cell>
          <cell r="E46">
            <v>2</v>
          </cell>
          <cell r="F46">
            <v>7</v>
          </cell>
        </row>
        <row r="47">
          <cell r="B47" t="str">
            <v>TA1552</v>
          </cell>
          <cell r="C47" t="str">
            <v>TA1550</v>
          </cell>
          <cell r="D47" t="str">
            <v>CHS3L</v>
          </cell>
          <cell r="E47">
            <v>2</v>
          </cell>
          <cell r="F47">
            <v>18</v>
          </cell>
        </row>
        <row r="48">
          <cell r="B48" t="str">
            <v>TA1553</v>
          </cell>
          <cell r="C48" t="str">
            <v>TA1550</v>
          </cell>
          <cell r="D48" t="str">
            <v>CHS3L</v>
          </cell>
          <cell r="E48">
            <v>1</v>
          </cell>
          <cell r="F48">
            <v>18</v>
          </cell>
        </row>
        <row r="49">
          <cell r="B49" t="str">
            <v>TA1554</v>
          </cell>
          <cell r="C49" t="str">
            <v>TA1550</v>
          </cell>
          <cell r="D49" t="str">
            <v>CHS3L</v>
          </cell>
          <cell r="E49">
            <v>1</v>
          </cell>
          <cell r="F49">
            <v>18</v>
          </cell>
        </row>
        <row r="50">
          <cell r="B50" t="str">
            <v>TA1564</v>
          </cell>
          <cell r="C50" t="str">
            <v>TA1560</v>
          </cell>
          <cell r="D50" t="str">
            <v>CHS3L</v>
          </cell>
          <cell r="E50">
            <v>1</v>
          </cell>
          <cell r="F50">
            <v>18</v>
          </cell>
        </row>
        <row r="51">
          <cell r="B51" t="str">
            <v>TA1563</v>
          </cell>
          <cell r="C51" t="str">
            <v>TA1560</v>
          </cell>
          <cell r="D51" t="str">
            <v>CHS3L</v>
          </cell>
          <cell r="E51">
            <v>1</v>
          </cell>
          <cell r="F51">
            <v>18</v>
          </cell>
        </row>
        <row r="52">
          <cell r="B52" t="str">
            <v>TA1562</v>
          </cell>
          <cell r="C52" t="str">
            <v>TA1560</v>
          </cell>
          <cell r="D52" t="str">
            <v>CHS3L</v>
          </cell>
          <cell r="E52">
            <v>1</v>
          </cell>
          <cell r="F52">
            <v>18</v>
          </cell>
        </row>
        <row r="53">
          <cell r="B53" t="str">
            <v>TA1590</v>
          </cell>
          <cell r="C53">
            <v>0</v>
          </cell>
          <cell r="D53" t="str">
            <v>CHS3L</v>
          </cell>
          <cell r="E53">
            <v>0</v>
          </cell>
          <cell r="F53">
            <v>0</v>
          </cell>
        </row>
        <row r="54">
          <cell r="B54" t="str">
            <v>TA1610</v>
          </cell>
          <cell r="C54" t="str">
            <v>TA1610</v>
          </cell>
          <cell r="D54" t="str">
            <v>CHS3L</v>
          </cell>
          <cell r="E54">
            <v>2</v>
          </cell>
          <cell r="F54">
            <v>7</v>
          </cell>
        </row>
        <row r="55">
          <cell r="B55" t="str">
            <v>TA1620</v>
          </cell>
          <cell r="C55" t="str">
            <v>TA1620</v>
          </cell>
          <cell r="D55" t="str">
            <v>CHS3L</v>
          </cell>
          <cell r="E55">
            <v>2</v>
          </cell>
          <cell r="F55">
            <v>7</v>
          </cell>
        </row>
        <row r="56">
          <cell r="B56" t="str">
            <v>TA1640</v>
          </cell>
          <cell r="C56" t="str">
            <v>TA1640</v>
          </cell>
          <cell r="D56" t="str">
            <v>CHS3L</v>
          </cell>
          <cell r="E56">
            <v>1</v>
          </cell>
          <cell r="F56">
            <v>7</v>
          </cell>
        </row>
        <row r="57">
          <cell r="B57" t="str">
            <v>TA2721</v>
          </cell>
          <cell r="C57" t="str">
            <v>TA2720</v>
          </cell>
          <cell r="D57" t="str">
            <v>CHS3L</v>
          </cell>
          <cell r="E57">
            <v>2</v>
          </cell>
          <cell r="F57">
            <v>18</v>
          </cell>
        </row>
        <row r="58">
          <cell r="B58" t="str">
            <v>TA2722</v>
          </cell>
          <cell r="C58" t="str">
            <v>TA2720</v>
          </cell>
          <cell r="D58" t="str">
            <v>CHS3L</v>
          </cell>
          <cell r="E58">
            <v>2</v>
          </cell>
          <cell r="F58">
            <v>18</v>
          </cell>
        </row>
        <row r="59">
          <cell r="B59" t="str">
            <v>TA2730</v>
          </cell>
          <cell r="C59" t="str">
            <v>TA2730</v>
          </cell>
          <cell r="D59" t="str">
            <v>CHS3L</v>
          </cell>
          <cell r="E59">
            <v>2</v>
          </cell>
          <cell r="F59">
            <v>2</v>
          </cell>
        </row>
        <row r="60">
          <cell r="B60" t="str">
            <v>TA1650</v>
          </cell>
          <cell r="C60" t="str">
            <v>TA1650</v>
          </cell>
          <cell r="D60" t="str">
            <v>CHS3L</v>
          </cell>
          <cell r="E60">
            <v>0</v>
          </cell>
          <cell r="F60">
            <v>0</v>
          </cell>
        </row>
        <row r="61">
          <cell r="B61" t="str">
            <v>TA2010</v>
          </cell>
          <cell r="C61">
            <v>0</v>
          </cell>
          <cell r="D61" t="str">
            <v>CHS3L</v>
          </cell>
          <cell r="E61">
            <v>0</v>
          </cell>
          <cell r="F61">
            <v>0</v>
          </cell>
        </row>
        <row r="62">
          <cell r="B62" t="str">
            <v>TA2001</v>
          </cell>
          <cell r="C62" t="str">
            <v>TA2000</v>
          </cell>
          <cell r="D62" t="str">
            <v>CHS3L</v>
          </cell>
          <cell r="E62">
            <v>0</v>
          </cell>
          <cell r="F62">
            <v>0</v>
          </cell>
        </row>
        <row r="63">
          <cell r="B63" t="str">
            <v>TA2002</v>
          </cell>
          <cell r="C63" t="str">
            <v>TA2000</v>
          </cell>
          <cell r="D63" t="str">
            <v>CHS3L</v>
          </cell>
          <cell r="E63">
            <v>0</v>
          </cell>
          <cell r="F63">
            <v>0</v>
          </cell>
        </row>
        <row r="64">
          <cell r="B64" t="str">
            <v>TA2003</v>
          </cell>
          <cell r="C64" t="str">
            <v>TA2000</v>
          </cell>
          <cell r="D64" t="str">
            <v>CHS3L</v>
          </cell>
          <cell r="E64">
            <v>0</v>
          </cell>
          <cell r="F64">
            <v>0</v>
          </cell>
        </row>
        <row r="65">
          <cell r="B65" t="str">
            <v>TA2004</v>
          </cell>
          <cell r="C65" t="str">
            <v>TA2000</v>
          </cell>
          <cell r="D65" t="str">
            <v>CHS3L</v>
          </cell>
          <cell r="E65">
            <v>0</v>
          </cell>
          <cell r="F65">
            <v>0</v>
          </cell>
        </row>
        <row r="66">
          <cell r="B66" t="str">
            <v>TA2020</v>
          </cell>
          <cell r="C66">
            <v>0</v>
          </cell>
          <cell r="D66" t="str">
            <v>CHS3L</v>
          </cell>
          <cell r="E66">
            <v>0</v>
          </cell>
          <cell r="F66">
            <v>0</v>
          </cell>
        </row>
        <row r="67">
          <cell r="B67" t="str">
            <v>TA2030</v>
          </cell>
          <cell r="C67" t="str">
            <v>TA2030</v>
          </cell>
          <cell r="D67" t="str">
            <v>CHS3L</v>
          </cell>
          <cell r="E67">
            <v>0</v>
          </cell>
          <cell r="F67">
            <v>0</v>
          </cell>
        </row>
        <row r="68">
          <cell r="B68" t="str">
            <v>PM1130</v>
          </cell>
          <cell r="C68" t="str">
            <v>PM1130</v>
          </cell>
          <cell r="D68" t="str">
            <v>CHS3L</v>
          </cell>
          <cell r="E68">
            <v>2</v>
          </cell>
          <cell r="F68">
            <v>7</v>
          </cell>
        </row>
        <row r="69">
          <cell r="B69" t="str">
            <v>PM1090</v>
          </cell>
          <cell r="C69" t="str">
            <v>PM109A</v>
          </cell>
          <cell r="D69" t="str">
            <v>CHS3L</v>
          </cell>
          <cell r="E69">
            <v>2</v>
          </cell>
          <cell r="F69">
            <v>18</v>
          </cell>
        </row>
        <row r="70">
          <cell r="B70" t="str">
            <v>TA1542</v>
          </cell>
          <cell r="C70" t="str">
            <v>TA1540</v>
          </cell>
          <cell r="D70" t="str">
            <v>CHS3L</v>
          </cell>
          <cell r="E70">
            <v>2</v>
          </cell>
          <cell r="F70">
            <v>18</v>
          </cell>
        </row>
        <row r="71">
          <cell r="B71" t="str">
            <v>TA1541</v>
          </cell>
          <cell r="C71" t="str">
            <v>TA1540</v>
          </cell>
          <cell r="D71" t="str">
            <v>CHS3L</v>
          </cell>
          <cell r="E71">
            <v>2</v>
          </cell>
          <cell r="F71">
            <v>18</v>
          </cell>
        </row>
        <row r="72">
          <cell r="B72" t="str">
            <v>TA1571</v>
          </cell>
          <cell r="C72" t="str">
            <v>TA1570</v>
          </cell>
          <cell r="D72" t="str">
            <v>CHS3L</v>
          </cell>
          <cell r="E72">
            <v>2</v>
          </cell>
          <cell r="F72">
            <v>18</v>
          </cell>
        </row>
        <row r="73">
          <cell r="B73" t="str">
            <v>TA1572</v>
          </cell>
          <cell r="C73" t="str">
            <v>TA1570</v>
          </cell>
          <cell r="D73" t="str">
            <v>CHS3L</v>
          </cell>
          <cell r="E73">
            <v>2</v>
          </cell>
          <cell r="F73">
            <v>18</v>
          </cell>
        </row>
        <row r="74">
          <cell r="B74" t="str">
            <v>TA1582</v>
          </cell>
          <cell r="C74" t="str">
            <v>TA1580</v>
          </cell>
          <cell r="D74" t="str">
            <v>CHS3L</v>
          </cell>
          <cell r="E74">
            <v>2</v>
          </cell>
          <cell r="F74">
            <v>18</v>
          </cell>
        </row>
        <row r="75">
          <cell r="B75" t="str">
            <v>TA1581</v>
          </cell>
          <cell r="C75" t="str">
            <v>TA1580</v>
          </cell>
          <cell r="D75" t="str">
            <v>CHS3L</v>
          </cell>
          <cell r="E75">
            <v>2</v>
          </cell>
          <cell r="F75">
            <v>18</v>
          </cell>
        </row>
        <row r="76">
          <cell r="B76" t="str">
            <v>TA1600</v>
          </cell>
          <cell r="C76" t="str">
            <v>TA1600</v>
          </cell>
          <cell r="D76" t="str">
            <v>CHS3L</v>
          </cell>
          <cell r="E76">
            <v>2</v>
          </cell>
          <cell r="F76">
            <v>6</v>
          </cell>
        </row>
        <row r="77">
          <cell r="B77" t="str">
            <v>HN0590</v>
          </cell>
          <cell r="C77" t="str">
            <v>HN0590</v>
          </cell>
          <cell r="D77" t="str">
            <v>CHS3L</v>
          </cell>
          <cell r="E77">
            <v>2</v>
          </cell>
          <cell r="F77">
            <v>0</v>
          </cell>
        </row>
        <row r="78">
          <cell r="B78" t="str">
            <v>HN0540</v>
          </cell>
          <cell r="C78" t="str">
            <v>HN0540</v>
          </cell>
          <cell r="D78" t="str">
            <v>CHS3L</v>
          </cell>
          <cell r="E78">
            <v>2</v>
          </cell>
          <cell r="F78">
            <v>17</v>
          </cell>
        </row>
        <row r="79">
          <cell r="B79" t="str">
            <v>HN0550</v>
          </cell>
          <cell r="C79" t="str">
            <v>HN0550</v>
          </cell>
          <cell r="D79" t="str">
            <v>CHS3L</v>
          </cell>
          <cell r="E79">
            <v>2</v>
          </cell>
          <cell r="F79">
            <v>7</v>
          </cell>
        </row>
        <row r="80">
          <cell r="B80" t="str">
            <v>HN0560</v>
          </cell>
          <cell r="C80" t="str">
            <v>HN0560</v>
          </cell>
          <cell r="D80" t="str">
            <v>CHS3L</v>
          </cell>
          <cell r="E80">
            <v>2</v>
          </cell>
          <cell r="F80">
            <v>18</v>
          </cell>
        </row>
        <row r="81">
          <cell r="B81" t="str">
            <v>HN0150</v>
          </cell>
          <cell r="C81" t="str">
            <v>HN0150</v>
          </cell>
          <cell r="D81" t="str">
            <v>CHS3L</v>
          </cell>
          <cell r="E81">
            <v>2</v>
          </cell>
          <cell r="F81">
            <v>2</v>
          </cell>
        </row>
        <row r="82">
          <cell r="B82" t="str">
            <v>HN0160</v>
          </cell>
          <cell r="C82" t="str">
            <v>HN0160</v>
          </cell>
          <cell r="D82" t="str">
            <v>CHS3L</v>
          </cell>
          <cell r="E82">
            <v>0</v>
          </cell>
          <cell r="F82">
            <v>0</v>
          </cell>
        </row>
        <row r="83">
          <cell r="B83" t="str">
            <v>HN0170</v>
          </cell>
          <cell r="C83" t="str">
            <v>HN0170</v>
          </cell>
          <cell r="D83" t="str">
            <v>CHS3L</v>
          </cell>
          <cell r="E83">
            <v>0</v>
          </cell>
          <cell r="F83">
            <v>0</v>
          </cell>
        </row>
        <row r="84">
          <cell r="B84" t="str">
            <v>HN0240</v>
          </cell>
          <cell r="C84" t="str">
            <v>HN0240</v>
          </cell>
          <cell r="D84" t="str">
            <v>CHS3L</v>
          </cell>
          <cell r="E84">
            <v>0</v>
          </cell>
          <cell r="F84">
            <v>0</v>
          </cell>
        </row>
        <row r="85">
          <cell r="B85" t="str">
            <v>HN0250</v>
          </cell>
          <cell r="C85" t="str">
            <v>HN0250</v>
          </cell>
          <cell r="D85" t="str">
            <v>CHS3L</v>
          </cell>
          <cell r="E85">
            <v>0</v>
          </cell>
          <cell r="F85">
            <v>19</v>
          </cell>
        </row>
        <row r="86">
          <cell r="B86" t="str">
            <v>HN0490</v>
          </cell>
          <cell r="C86">
            <v>0</v>
          </cell>
          <cell r="D86" t="str">
            <v>CHS3L</v>
          </cell>
          <cell r="E86">
            <v>0</v>
          </cell>
          <cell r="F86">
            <v>0</v>
          </cell>
        </row>
        <row r="87">
          <cell r="B87" t="str">
            <v>HN0530</v>
          </cell>
          <cell r="C87" t="str">
            <v>HN0530</v>
          </cell>
          <cell r="D87" t="str">
            <v>CHS3L</v>
          </cell>
          <cell r="E87">
            <v>0</v>
          </cell>
          <cell r="F87">
            <v>0</v>
          </cell>
        </row>
        <row r="88">
          <cell r="B88" t="str">
            <v>TA149A</v>
          </cell>
          <cell r="C88" t="str">
            <v>TA149a</v>
          </cell>
          <cell r="D88" t="str">
            <v>CHS3L</v>
          </cell>
          <cell r="E88">
            <v>2</v>
          </cell>
          <cell r="F88">
            <v>11</v>
          </cell>
        </row>
        <row r="89">
          <cell r="B89" t="str">
            <v>TA1741</v>
          </cell>
          <cell r="C89">
            <v>0</v>
          </cell>
          <cell r="D89" t="str">
            <v>CHS3L</v>
          </cell>
          <cell r="E89">
            <v>0</v>
          </cell>
          <cell r="F89">
            <v>0</v>
          </cell>
        </row>
        <row r="90">
          <cell r="B90" t="str">
            <v>TA1380</v>
          </cell>
          <cell r="C90">
            <v>0</v>
          </cell>
          <cell r="D90" t="str">
            <v>CHS3L</v>
          </cell>
          <cell r="E90">
            <v>1</v>
          </cell>
          <cell r="F90">
            <v>0</v>
          </cell>
        </row>
        <row r="91">
          <cell r="B91" t="str">
            <v>TA109A</v>
          </cell>
          <cell r="C91">
            <v>0</v>
          </cell>
          <cell r="D91" t="str">
            <v>CHS3L</v>
          </cell>
          <cell r="E91">
            <v>1</v>
          </cell>
          <cell r="F91">
            <v>0</v>
          </cell>
        </row>
        <row r="92">
          <cell r="B92" t="str">
            <v>TA2580</v>
          </cell>
          <cell r="C92" t="str">
            <v>TA2580</v>
          </cell>
          <cell r="D92" t="str">
            <v>CHS3L</v>
          </cell>
          <cell r="E92">
            <v>1</v>
          </cell>
          <cell r="F92">
            <v>18</v>
          </cell>
        </row>
        <row r="93">
          <cell r="B93" t="str">
            <v>TA2531</v>
          </cell>
          <cell r="C93" t="str">
            <v>TA2530</v>
          </cell>
          <cell r="D93" t="str">
            <v>CHS3L</v>
          </cell>
          <cell r="E93">
            <v>1</v>
          </cell>
          <cell r="F93">
            <v>9</v>
          </cell>
        </row>
        <row r="94">
          <cell r="B94" t="str">
            <v>TA1733</v>
          </cell>
          <cell r="C94" t="str">
            <v>TA1730</v>
          </cell>
          <cell r="D94" t="str">
            <v>CHS3L</v>
          </cell>
          <cell r="E94">
            <v>1</v>
          </cell>
          <cell r="F94">
            <v>9</v>
          </cell>
        </row>
        <row r="95">
          <cell r="B95" t="str">
            <v>TA1732</v>
          </cell>
          <cell r="C95" t="str">
            <v>TA1730</v>
          </cell>
          <cell r="D95" t="str">
            <v>CHS3L</v>
          </cell>
          <cell r="E95">
            <v>1</v>
          </cell>
          <cell r="F95">
            <v>9</v>
          </cell>
        </row>
        <row r="96">
          <cell r="B96" t="str">
            <v>TBA001</v>
          </cell>
          <cell r="C96">
            <v>0</v>
          </cell>
          <cell r="D96" t="str">
            <v>CHS3L</v>
          </cell>
          <cell r="E96">
            <v>0</v>
          </cell>
          <cell r="F96">
            <v>0</v>
          </cell>
        </row>
        <row r="97">
          <cell r="B97" t="str">
            <v>TBA002</v>
          </cell>
          <cell r="C97">
            <v>0</v>
          </cell>
          <cell r="D97" t="str">
            <v>CHS3L</v>
          </cell>
          <cell r="E97">
            <v>0</v>
          </cell>
          <cell r="F97">
            <v>0</v>
          </cell>
        </row>
        <row r="98">
          <cell r="B98" t="str">
            <v>HN0140</v>
          </cell>
          <cell r="C98">
            <v>0</v>
          </cell>
          <cell r="D98" t="str">
            <v>CHS3L</v>
          </cell>
          <cell r="E98">
            <v>0</v>
          </cell>
          <cell r="F98">
            <v>0</v>
          </cell>
        </row>
        <row r="99">
          <cell r="B99" t="str">
            <v>HN0220</v>
          </cell>
          <cell r="C99">
            <v>0</v>
          </cell>
          <cell r="D99" t="str">
            <v>CHS3L</v>
          </cell>
          <cell r="E99">
            <v>0</v>
          </cell>
          <cell r="F99">
            <v>0</v>
          </cell>
        </row>
        <row r="100">
          <cell r="B100" t="str">
            <v>HN0230</v>
          </cell>
          <cell r="C100">
            <v>0</v>
          </cell>
          <cell r="D100" t="str">
            <v>CHS3L</v>
          </cell>
          <cell r="E100">
            <v>0</v>
          </cell>
          <cell r="F100">
            <v>0</v>
          </cell>
        </row>
        <row r="101">
          <cell r="B101" t="str">
            <v>HN0180</v>
          </cell>
          <cell r="C101">
            <v>0</v>
          </cell>
          <cell r="D101" t="str">
            <v>CHS3L</v>
          </cell>
          <cell r="E101">
            <v>0</v>
          </cell>
          <cell r="F101">
            <v>0</v>
          </cell>
        </row>
        <row r="102">
          <cell r="B102" t="str">
            <v>HN0190</v>
          </cell>
          <cell r="C102">
            <v>0</v>
          </cell>
          <cell r="D102" t="str">
            <v>CHS3L</v>
          </cell>
          <cell r="E102">
            <v>0</v>
          </cell>
          <cell r="F102">
            <v>0</v>
          </cell>
        </row>
        <row r="103">
          <cell r="B103" t="str">
            <v>HN0200</v>
          </cell>
          <cell r="C103">
            <v>0</v>
          </cell>
          <cell r="D103" t="str">
            <v>CHS3L</v>
          </cell>
          <cell r="E103">
            <v>0</v>
          </cell>
          <cell r="F103">
            <v>0</v>
          </cell>
        </row>
        <row r="104">
          <cell r="B104" t="str">
            <v>HN0210</v>
          </cell>
          <cell r="C104">
            <v>0</v>
          </cell>
          <cell r="D104" t="str">
            <v>CHS3L</v>
          </cell>
          <cell r="E104">
            <v>0</v>
          </cell>
          <cell r="F104">
            <v>0</v>
          </cell>
        </row>
        <row r="105">
          <cell r="B105" t="str">
            <v>PM1041</v>
          </cell>
          <cell r="C105" t="str">
            <v>PM1040</v>
          </cell>
          <cell r="D105" t="str">
            <v>CHS3L</v>
          </cell>
          <cell r="E105">
            <v>1</v>
          </cell>
          <cell r="F105">
            <v>0</v>
          </cell>
        </row>
        <row r="106">
          <cell r="B106" t="str">
            <v>PM105A</v>
          </cell>
          <cell r="C106" t="str">
            <v>PM105A</v>
          </cell>
          <cell r="D106" t="str">
            <v>CHS3L</v>
          </cell>
          <cell r="E106">
            <v>2</v>
          </cell>
          <cell r="F106">
            <v>7</v>
          </cell>
        </row>
        <row r="107">
          <cell r="B107" t="str">
            <v>PM1140</v>
          </cell>
          <cell r="C107" t="str">
            <v>PM1140</v>
          </cell>
          <cell r="D107" t="str">
            <v>CHS3L</v>
          </cell>
          <cell r="E107">
            <v>1</v>
          </cell>
          <cell r="F107">
            <v>4</v>
          </cell>
        </row>
        <row r="108">
          <cell r="B108" t="str">
            <v>PM1160</v>
          </cell>
          <cell r="C108" t="str">
            <v>PM1160</v>
          </cell>
          <cell r="D108" t="str">
            <v>CHS3L</v>
          </cell>
          <cell r="E108">
            <v>1</v>
          </cell>
          <cell r="F108">
            <v>7</v>
          </cell>
        </row>
        <row r="109">
          <cell r="B109" t="str">
            <v>PM1170</v>
          </cell>
          <cell r="C109" t="str">
            <v>PM1170</v>
          </cell>
          <cell r="D109" t="str">
            <v>CHS3L</v>
          </cell>
          <cell r="E109">
            <v>1</v>
          </cell>
          <cell r="F109">
            <v>7</v>
          </cell>
        </row>
        <row r="110">
          <cell r="B110" t="str">
            <v>PM1240</v>
          </cell>
          <cell r="C110" t="str">
            <v>PM1240</v>
          </cell>
          <cell r="D110" t="str">
            <v>CHS3L</v>
          </cell>
          <cell r="E110">
            <v>1</v>
          </cell>
          <cell r="F110">
            <v>7</v>
          </cell>
        </row>
        <row r="111">
          <cell r="B111" t="str">
            <v>PM1250</v>
          </cell>
          <cell r="C111" t="str">
            <v>PM1250</v>
          </cell>
          <cell r="D111" t="str">
            <v>CHS3L</v>
          </cell>
          <cell r="E111">
            <v>1</v>
          </cell>
          <cell r="F111">
            <v>9</v>
          </cell>
        </row>
        <row r="112">
          <cell r="B112" t="str">
            <v>PM1290</v>
          </cell>
          <cell r="C112" t="str">
            <v>PM1290</v>
          </cell>
          <cell r="D112" t="str">
            <v>CHS3L</v>
          </cell>
          <cell r="E112">
            <v>1</v>
          </cell>
          <cell r="F112">
            <v>6</v>
          </cell>
        </row>
        <row r="113">
          <cell r="B113" t="str">
            <v>PM1042</v>
          </cell>
          <cell r="C113" t="str">
            <v>PM1040</v>
          </cell>
          <cell r="D113" t="str">
            <v>CHS3L</v>
          </cell>
          <cell r="E113">
            <v>1</v>
          </cell>
          <cell r="F113">
            <v>0</v>
          </cell>
        </row>
        <row r="114">
          <cell r="B114" t="str">
            <v>PM1150</v>
          </cell>
          <cell r="C114" t="str">
            <v>PM1150</v>
          </cell>
          <cell r="D114" t="str">
            <v>CHS3L</v>
          </cell>
          <cell r="E114">
            <v>1</v>
          </cell>
          <cell r="F114">
            <v>18</v>
          </cell>
        </row>
        <row r="115">
          <cell r="B115" t="str">
            <v>PM1190</v>
          </cell>
          <cell r="C115" t="str">
            <v>PM1190</v>
          </cell>
          <cell r="D115" t="str">
            <v>CHS3L</v>
          </cell>
          <cell r="E115">
            <v>1</v>
          </cell>
          <cell r="F115">
            <v>1</v>
          </cell>
        </row>
        <row r="116">
          <cell r="B116" t="str">
            <v>PM1410</v>
          </cell>
          <cell r="C116" t="str">
            <v>PM1410</v>
          </cell>
          <cell r="D116" t="str">
            <v>CHS3L</v>
          </cell>
          <cell r="E116">
            <v>2</v>
          </cell>
          <cell r="F116">
            <v>18</v>
          </cell>
        </row>
        <row r="117">
          <cell r="B117" t="str">
            <v>PM1300</v>
          </cell>
          <cell r="C117" t="str">
            <v>PM1300</v>
          </cell>
          <cell r="D117" t="str">
            <v>CHS3L</v>
          </cell>
          <cell r="E117">
            <v>1</v>
          </cell>
          <cell r="F117">
            <v>1</v>
          </cell>
        </row>
        <row r="118">
          <cell r="B118" t="str">
            <v>PM1310</v>
          </cell>
          <cell r="C118" t="str">
            <v>PM1310</v>
          </cell>
          <cell r="D118" t="str">
            <v>CHS3L</v>
          </cell>
          <cell r="E118">
            <v>2</v>
          </cell>
          <cell r="F118">
            <v>1</v>
          </cell>
        </row>
        <row r="119">
          <cell r="B119" t="str">
            <v>PM1370</v>
          </cell>
          <cell r="C119" t="str">
            <v>PM1370</v>
          </cell>
          <cell r="D119" t="str">
            <v>CHS3L</v>
          </cell>
          <cell r="E119">
            <v>2</v>
          </cell>
          <cell r="F119">
            <v>7</v>
          </cell>
        </row>
        <row r="120">
          <cell r="B120" t="str">
            <v>PM1420</v>
          </cell>
          <cell r="C120" t="str">
            <v>PM1420</v>
          </cell>
          <cell r="D120" t="str">
            <v>CHS3L</v>
          </cell>
          <cell r="E120">
            <v>2</v>
          </cell>
          <cell r="F120">
            <v>7</v>
          </cell>
        </row>
        <row r="121">
          <cell r="B121" t="str">
            <v>PM1320</v>
          </cell>
          <cell r="C121" t="str">
            <v>PM1320</v>
          </cell>
          <cell r="D121" t="str">
            <v>CHS3L</v>
          </cell>
          <cell r="E121">
            <v>1</v>
          </cell>
          <cell r="F121">
            <v>7</v>
          </cell>
        </row>
        <row r="122">
          <cell r="B122" t="str">
            <v>PM1440</v>
          </cell>
          <cell r="C122" t="str">
            <v>PM1440</v>
          </cell>
          <cell r="D122" t="str">
            <v>CHS3L</v>
          </cell>
          <cell r="E122">
            <v>2</v>
          </cell>
          <cell r="F122">
            <v>22</v>
          </cell>
        </row>
        <row r="123">
          <cell r="B123" t="str">
            <v>PM1450</v>
          </cell>
          <cell r="C123" t="str">
            <v>PM1450</v>
          </cell>
          <cell r="D123" t="str">
            <v>CHS3L</v>
          </cell>
          <cell r="E123">
            <v>2</v>
          </cell>
          <cell r="F123">
            <v>22</v>
          </cell>
        </row>
        <row r="124">
          <cell r="B124" t="str">
            <v>HM0180</v>
          </cell>
          <cell r="C124">
            <v>0</v>
          </cell>
          <cell r="D124" t="str">
            <v>CHS3L</v>
          </cell>
          <cell r="E124">
            <v>0</v>
          </cell>
          <cell r="F124">
            <v>0</v>
          </cell>
        </row>
        <row r="125">
          <cell r="B125" t="str">
            <v>PM1180</v>
          </cell>
          <cell r="C125" t="str">
            <v>PM1180</v>
          </cell>
          <cell r="D125" t="str">
            <v>CHS3L</v>
          </cell>
          <cell r="E125">
            <v>1</v>
          </cell>
          <cell r="F125">
            <v>9</v>
          </cell>
        </row>
        <row r="126">
          <cell r="B126" t="str">
            <v>PM1200</v>
          </cell>
          <cell r="C126" t="str">
            <v>PM1200</v>
          </cell>
          <cell r="D126" t="str">
            <v>CHS3L</v>
          </cell>
          <cell r="E126">
            <v>1</v>
          </cell>
          <cell r="F126">
            <v>9</v>
          </cell>
        </row>
        <row r="127">
          <cell r="B127" t="str">
            <v>PM1210</v>
          </cell>
          <cell r="C127" t="str">
            <v>PM1210</v>
          </cell>
          <cell r="D127" t="str">
            <v>CHS3L</v>
          </cell>
          <cell r="E127">
            <v>1</v>
          </cell>
          <cell r="F127">
            <v>9</v>
          </cell>
        </row>
        <row r="128">
          <cell r="B128" t="str">
            <v>PM1260</v>
          </cell>
          <cell r="C128" t="str">
            <v>PM1260</v>
          </cell>
          <cell r="D128" t="str">
            <v>CHS3L</v>
          </cell>
          <cell r="E128">
            <v>1</v>
          </cell>
          <cell r="F128">
            <v>7</v>
          </cell>
        </row>
        <row r="129">
          <cell r="B129" t="str">
            <v>TA0500</v>
          </cell>
          <cell r="C129">
            <v>0</v>
          </cell>
          <cell r="D129" t="str">
            <v>CHS3L</v>
          </cell>
          <cell r="E129">
            <v>0</v>
          </cell>
          <cell r="F129">
            <v>0</v>
          </cell>
        </row>
        <row r="130">
          <cell r="B130" t="str">
            <v>NA2031</v>
          </cell>
          <cell r="C130" t="str">
            <v>NA2031</v>
          </cell>
          <cell r="D130" t="str">
            <v>CHS3L</v>
          </cell>
          <cell r="E130">
            <v>1</v>
          </cell>
          <cell r="F130">
            <v>13</v>
          </cell>
        </row>
        <row r="131">
          <cell r="B131" t="str">
            <v>NA2032</v>
          </cell>
          <cell r="C131" t="str">
            <v>NA2032</v>
          </cell>
          <cell r="D131" t="str">
            <v>CHS3L</v>
          </cell>
          <cell r="E131">
            <v>1</v>
          </cell>
          <cell r="F131">
            <v>6</v>
          </cell>
        </row>
        <row r="132">
          <cell r="B132" t="str">
            <v>NA1410</v>
          </cell>
          <cell r="C132" t="str">
            <v>NA1410</v>
          </cell>
          <cell r="D132" t="str">
            <v>CHS3L</v>
          </cell>
          <cell r="E132">
            <v>4</v>
          </cell>
          <cell r="F132">
            <v>7</v>
          </cell>
        </row>
        <row r="133">
          <cell r="B133" t="str">
            <v>NA2700</v>
          </cell>
          <cell r="C133">
            <v>0</v>
          </cell>
          <cell r="D133" t="str">
            <v>CHS3L</v>
          </cell>
          <cell r="E133">
            <v>0</v>
          </cell>
          <cell r="F133">
            <v>0</v>
          </cell>
        </row>
        <row r="134">
          <cell r="B134" t="str">
            <v>NA2810</v>
          </cell>
          <cell r="C134" t="str">
            <v>NA2810</v>
          </cell>
          <cell r="D134" t="str">
            <v>CHS3L</v>
          </cell>
          <cell r="E134">
            <v>2</v>
          </cell>
          <cell r="F134">
            <v>18</v>
          </cell>
        </row>
        <row r="135">
          <cell r="B135" t="str">
            <v>PM1470</v>
          </cell>
          <cell r="C135" t="str">
            <v>PM1470</v>
          </cell>
          <cell r="D135" t="str">
            <v>CHS3L</v>
          </cell>
          <cell r="E135">
            <v>1</v>
          </cell>
          <cell r="F135">
            <v>0</v>
          </cell>
        </row>
        <row r="136">
          <cell r="B136" t="str">
            <v>PM1490</v>
          </cell>
          <cell r="C136" t="str">
            <v>PM1490</v>
          </cell>
          <cell r="D136" t="str">
            <v>CHS3L</v>
          </cell>
          <cell r="E136">
            <v>1</v>
          </cell>
          <cell r="F136">
            <v>0</v>
          </cell>
        </row>
        <row r="137">
          <cell r="B137" t="str">
            <v>PM1480</v>
          </cell>
          <cell r="C137" t="str">
            <v>PM1480</v>
          </cell>
          <cell r="D137" t="str">
            <v>CHS3L</v>
          </cell>
          <cell r="E137">
            <v>1</v>
          </cell>
          <cell r="F137">
            <v>0</v>
          </cell>
        </row>
        <row r="138">
          <cell r="B138" t="str">
            <v>MS0230</v>
          </cell>
          <cell r="C138" t="str">
            <v>MS0230</v>
          </cell>
          <cell r="D138" t="str">
            <v>CHS3L</v>
          </cell>
          <cell r="E138">
            <v>1</v>
          </cell>
          <cell r="F138">
            <v>6</v>
          </cell>
        </row>
        <row r="139">
          <cell r="B139" t="str">
            <v>TA2980</v>
          </cell>
          <cell r="C139" t="str">
            <v>TA2980</v>
          </cell>
          <cell r="D139" t="str">
            <v>CHS3L</v>
          </cell>
          <cell r="E139">
            <v>2</v>
          </cell>
          <cell r="F139">
            <v>1</v>
          </cell>
        </row>
        <row r="140">
          <cell r="B140" t="str">
            <v>TA2970</v>
          </cell>
          <cell r="C140" t="str">
            <v>TA2970</v>
          </cell>
          <cell r="D140" t="str">
            <v>CHS3L</v>
          </cell>
          <cell r="E140">
            <v>2</v>
          </cell>
          <cell r="F140">
            <v>12</v>
          </cell>
        </row>
        <row r="141">
          <cell r="B141" t="str">
            <v>PM1500</v>
          </cell>
          <cell r="C141">
            <v>0</v>
          </cell>
          <cell r="D141" t="str">
            <v>CHS3L</v>
          </cell>
          <cell r="E141">
            <v>1</v>
          </cell>
          <cell r="F141">
            <v>0</v>
          </cell>
        </row>
        <row r="142">
          <cell r="B142" t="str">
            <v>TA1680</v>
          </cell>
          <cell r="C142" t="str">
            <v>TA1680</v>
          </cell>
          <cell r="D142" t="str">
            <v>CHS2L</v>
          </cell>
          <cell r="E142">
            <v>7</v>
          </cell>
          <cell r="F142">
            <v>7</v>
          </cell>
        </row>
        <row r="143">
          <cell r="B143" t="str">
            <v>TA169A</v>
          </cell>
          <cell r="C143" t="str">
            <v>TA169A</v>
          </cell>
          <cell r="D143" t="str">
            <v>CHS2L</v>
          </cell>
          <cell r="E143">
            <v>5</v>
          </cell>
          <cell r="F143">
            <v>19</v>
          </cell>
        </row>
        <row r="144">
          <cell r="B144" t="str">
            <v>NA1840</v>
          </cell>
          <cell r="C144" t="str">
            <v>NA1840</v>
          </cell>
          <cell r="D144" t="str">
            <v>CHS2L</v>
          </cell>
          <cell r="E144">
            <v>5</v>
          </cell>
          <cell r="F144">
            <v>19</v>
          </cell>
        </row>
        <row r="145">
          <cell r="B145" t="str">
            <v>NA3330</v>
          </cell>
          <cell r="C145" t="str">
            <v>NA3330</v>
          </cell>
          <cell r="D145" t="str">
            <v>CHS2L</v>
          </cell>
          <cell r="E145">
            <v>5</v>
          </cell>
          <cell r="F145">
            <v>9</v>
          </cell>
        </row>
        <row r="146">
          <cell r="B146" t="str">
            <v>NA3340</v>
          </cell>
          <cell r="C146" t="str">
            <v>NA3340</v>
          </cell>
          <cell r="D146" t="str">
            <v>CHS2L</v>
          </cell>
          <cell r="E146">
            <v>2</v>
          </cell>
          <cell r="F146">
            <v>15</v>
          </cell>
        </row>
        <row r="147">
          <cell r="B147" t="str">
            <v>NA2720</v>
          </cell>
          <cell r="C147" t="str">
            <v>NA3030</v>
          </cell>
          <cell r="D147" t="str">
            <v>CHS2L</v>
          </cell>
          <cell r="E147">
            <v>7</v>
          </cell>
          <cell r="F147">
            <v>19</v>
          </cell>
        </row>
        <row r="148">
          <cell r="B148" t="str">
            <v>TA1330</v>
          </cell>
          <cell r="C148" t="str">
            <v>TA1330</v>
          </cell>
          <cell r="D148" t="str">
            <v>CHS2L</v>
          </cell>
          <cell r="E148">
            <v>7</v>
          </cell>
          <cell r="F148">
            <v>7</v>
          </cell>
        </row>
        <row r="149">
          <cell r="B149" t="str">
            <v>PM1220</v>
          </cell>
          <cell r="C149" t="str">
            <v>PM1220</v>
          </cell>
          <cell r="D149" t="str">
            <v>CHS2L</v>
          </cell>
          <cell r="E149">
            <v>7</v>
          </cell>
          <cell r="F149">
            <v>7</v>
          </cell>
        </row>
        <row r="150">
          <cell r="B150" t="str">
            <v>TA1771</v>
          </cell>
          <cell r="C150" t="str">
            <v>TA1770</v>
          </cell>
          <cell r="D150" t="str">
            <v>CHS2L</v>
          </cell>
          <cell r="E150">
            <v>0</v>
          </cell>
          <cell r="F150">
            <v>19</v>
          </cell>
        </row>
        <row r="151">
          <cell r="B151" t="str">
            <v>TA1772</v>
          </cell>
          <cell r="C151" t="str">
            <v>TA1770</v>
          </cell>
          <cell r="D151" t="str">
            <v>CHS2L</v>
          </cell>
          <cell r="E151">
            <v>0</v>
          </cell>
          <cell r="F151">
            <v>19</v>
          </cell>
        </row>
        <row r="152">
          <cell r="B152" t="str">
            <v>NA1460</v>
          </cell>
          <cell r="C152" t="str">
            <v>NA1460</v>
          </cell>
          <cell r="D152" t="str">
            <v>CHS2L</v>
          </cell>
          <cell r="E152">
            <v>4</v>
          </cell>
          <cell r="F152">
            <v>2</v>
          </cell>
        </row>
        <row r="153">
          <cell r="B153" t="str">
            <v>NA1470</v>
          </cell>
          <cell r="C153" t="str">
            <v>NA1470</v>
          </cell>
          <cell r="D153" t="str">
            <v>CHS2L</v>
          </cell>
          <cell r="E153">
            <v>4</v>
          </cell>
          <cell r="F153">
            <v>2</v>
          </cell>
        </row>
        <row r="154">
          <cell r="B154" t="str">
            <v>NA1870</v>
          </cell>
          <cell r="C154" t="str">
            <v>NA1870</v>
          </cell>
          <cell r="D154" t="str">
            <v>CHS2L</v>
          </cell>
          <cell r="E154">
            <v>7</v>
          </cell>
          <cell r="F154">
            <v>17</v>
          </cell>
        </row>
        <row r="155">
          <cell r="B155" t="str">
            <v>NA1880</v>
          </cell>
          <cell r="C155" t="str">
            <v>NA1880</v>
          </cell>
          <cell r="D155" t="str">
            <v>CHS2L</v>
          </cell>
          <cell r="E155">
            <v>5</v>
          </cell>
          <cell r="F155">
            <v>12</v>
          </cell>
        </row>
        <row r="156">
          <cell r="B156" t="str">
            <v>NA1890</v>
          </cell>
          <cell r="C156" t="str">
            <v>NA1890</v>
          </cell>
          <cell r="D156" t="str">
            <v>CHS2L</v>
          </cell>
          <cell r="E156">
            <v>0</v>
          </cell>
          <cell r="F156">
            <v>0</v>
          </cell>
        </row>
        <row r="157">
          <cell r="B157" t="str">
            <v>NA1900</v>
          </cell>
          <cell r="C157" t="str">
            <v>NA1900</v>
          </cell>
          <cell r="D157" t="str">
            <v>CHS2L</v>
          </cell>
          <cell r="E157">
            <v>0</v>
          </cell>
          <cell r="F157">
            <v>0</v>
          </cell>
        </row>
        <row r="158">
          <cell r="B158" t="str">
            <v>NA1910</v>
          </cell>
          <cell r="C158" t="str">
            <v>NA1910</v>
          </cell>
          <cell r="D158" t="str">
            <v>CHS2L</v>
          </cell>
          <cell r="E158">
            <v>0</v>
          </cell>
          <cell r="F158">
            <v>0</v>
          </cell>
        </row>
        <row r="159">
          <cell r="B159" t="str">
            <v>NA1920</v>
          </cell>
          <cell r="C159" t="str">
            <v>NA1920</v>
          </cell>
          <cell r="D159" t="str">
            <v>CHS2L</v>
          </cell>
          <cell r="E159">
            <v>0</v>
          </cell>
          <cell r="F159">
            <v>0</v>
          </cell>
        </row>
        <row r="160">
          <cell r="B160" t="str">
            <v>NA2090</v>
          </cell>
          <cell r="C160" t="str">
            <v>NA2090</v>
          </cell>
          <cell r="D160" t="str">
            <v>CHS2L</v>
          </cell>
          <cell r="E160">
            <v>5</v>
          </cell>
          <cell r="F160">
            <v>6</v>
          </cell>
        </row>
        <row r="161">
          <cell r="B161" t="str">
            <v>NA2100</v>
          </cell>
          <cell r="C161" t="str">
            <v>NA2100</v>
          </cell>
          <cell r="D161" t="str">
            <v>CHS2L</v>
          </cell>
          <cell r="E161">
            <v>4</v>
          </cell>
          <cell r="F161">
            <v>16</v>
          </cell>
        </row>
        <row r="162">
          <cell r="B162" t="str">
            <v>NA2150</v>
          </cell>
          <cell r="C162" t="str">
            <v>NA2150</v>
          </cell>
          <cell r="D162" t="str">
            <v>CHS2L</v>
          </cell>
          <cell r="E162">
            <v>0</v>
          </cell>
          <cell r="F162">
            <v>0</v>
          </cell>
        </row>
        <row r="163">
          <cell r="B163" t="str">
            <v>NA2170</v>
          </cell>
          <cell r="C163">
            <v>0</v>
          </cell>
          <cell r="D163" t="str">
            <v>CHS2L</v>
          </cell>
          <cell r="E163">
            <v>0</v>
          </cell>
          <cell r="F163">
            <v>0</v>
          </cell>
        </row>
        <row r="164">
          <cell r="B164" t="str">
            <v>NA2190</v>
          </cell>
          <cell r="C164" t="str">
            <v>NA2190</v>
          </cell>
          <cell r="D164" t="str">
            <v>CHS2L</v>
          </cell>
          <cell r="E164">
            <v>4</v>
          </cell>
          <cell r="F164">
            <v>7</v>
          </cell>
        </row>
        <row r="165">
          <cell r="B165" t="str">
            <v>NA2200</v>
          </cell>
          <cell r="C165" t="str">
            <v>NA2200</v>
          </cell>
          <cell r="D165" t="str">
            <v>CHS2L</v>
          </cell>
          <cell r="E165">
            <v>4</v>
          </cell>
          <cell r="F165">
            <v>20</v>
          </cell>
        </row>
        <row r="166">
          <cell r="B166" t="str">
            <v>NA2210</v>
          </cell>
          <cell r="C166" t="str">
            <v>NA2210</v>
          </cell>
          <cell r="D166" t="str">
            <v>CHS2L</v>
          </cell>
          <cell r="E166">
            <v>0</v>
          </cell>
          <cell r="F166">
            <v>0</v>
          </cell>
        </row>
        <row r="167">
          <cell r="B167" t="str">
            <v>NA2230</v>
          </cell>
          <cell r="C167" t="str">
            <v>NA2230</v>
          </cell>
          <cell r="D167" t="str">
            <v>CHS2L</v>
          </cell>
          <cell r="E167">
            <v>0</v>
          </cell>
          <cell r="F167">
            <v>0</v>
          </cell>
        </row>
        <row r="168">
          <cell r="B168" t="str">
            <v>NA2240</v>
          </cell>
          <cell r="C168" t="str">
            <v>NA2240</v>
          </cell>
          <cell r="D168" t="str">
            <v>CHS2L</v>
          </cell>
          <cell r="E168">
            <v>4</v>
          </cell>
          <cell r="F168">
            <v>6</v>
          </cell>
        </row>
        <row r="169">
          <cell r="B169" t="str">
            <v>NA2250</v>
          </cell>
          <cell r="C169" t="str">
            <v>NA2250</v>
          </cell>
          <cell r="D169" t="str">
            <v>CHS2L</v>
          </cell>
          <cell r="E169">
            <v>4</v>
          </cell>
          <cell r="F169">
            <v>2</v>
          </cell>
        </row>
        <row r="170">
          <cell r="B170" t="str">
            <v>NA2320</v>
          </cell>
          <cell r="C170" t="str">
            <v>NA2320</v>
          </cell>
          <cell r="D170" t="str">
            <v>CHS2L</v>
          </cell>
          <cell r="E170">
            <v>5</v>
          </cell>
          <cell r="F170">
            <v>11</v>
          </cell>
        </row>
        <row r="171">
          <cell r="B171" t="str">
            <v>NA2330</v>
          </cell>
          <cell r="C171" t="str">
            <v>NA2330</v>
          </cell>
          <cell r="D171" t="str">
            <v>CHS2L</v>
          </cell>
          <cell r="E171">
            <v>7</v>
          </cell>
          <cell r="F171">
            <v>19</v>
          </cell>
        </row>
        <row r="172">
          <cell r="B172" t="str">
            <v>TA104A</v>
          </cell>
          <cell r="C172" t="str">
            <v>TA104a</v>
          </cell>
          <cell r="D172" t="str">
            <v>CHS2L</v>
          </cell>
          <cell r="E172">
            <v>7</v>
          </cell>
          <cell r="F172">
            <v>1</v>
          </cell>
        </row>
        <row r="173">
          <cell r="B173" t="str">
            <v>TA105A</v>
          </cell>
          <cell r="C173" t="str">
            <v>TA105a</v>
          </cell>
          <cell r="D173" t="str">
            <v>CHS2L</v>
          </cell>
          <cell r="E173">
            <v>7</v>
          </cell>
          <cell r="F173">
            <v>7</v>
          </cell>
        </row>
        <row r="174">
          <cell r="B174" t="str">
            <v>NA2410</v>
          </cell>
          <cell r="C174" t="str">
            <v>NA2410</v>
          </cell>
          <cell r="D174" t="str">
            <v>CHS2L</v>
          </cell>
          <cell r="E174">
            <v>4</v>
          </cell>
          <cell r="F174">
            <v>6</v>
          </cell>
        </row>
        <row r="175">
          <cell r="B175" t="str">
            <v>NA2400</v>
          </cell>
          <cell r="C175" t="str">
            <v>NA2400</v>
          </cell>
          <cell r="D175" t="str">
            <v>CHS2L</v>
          </cell>
          <cell r="E175">
            <v>5</v>
          </cell>
          <cell r="F175">
            <v>7</v>
          </cell>
        </row>
        <row r="176">
          <cell r="B176" t="str">
            <v>NA2770</v>
          </cell>
          <cell r="C176" t="str">
            <v>NA2770</v>
          </cell>
          <cell r="D176" t="str">
            <v>CHS2L</v>
          </cell>
          <cell r="E176">
            <v>7</v>
          </cell>
          <cell r="F176">
            <v>7</v>
          </cell>
        </row>
        <row r="177">
          <cell r="B177" t="str">
            <v>NA3040</v>
          </cell>
          <cell r="C177">
            <v>0</v>
          </cell>
          <cell r="D177" t="str">
            <v>CHS2L</v>
          </cell>
          <cell r="E177">
            <v>4</v>
          </cell>
          <cell r="F177">
            <v>0</v>
          </cell>
        </row>
        <row r="178">
          <cell r="B178" t="str">
            <v>NA3340</v>
          </cell>
          <cell r="C178" t="str">
            <v>NA3340</v>
          </cell>
          <cell r="D178" t="str">
            <v>CHS2L</v>
          </cell>
          <cell r="E178">
            <v>2</v>
          </cell>
          <cell r="F178">
            <v>15</v>
          </cell>
        </row>
        <row r="179">
          <cell r="B179" t="str">
            <v>TB4</v>
          </cell>
          <cell r="C179">
            <v>0</v>
          </cell>
          <cell r="D179" t="str">
            <v>CHS2L</v>
          </cell>
          <cell r="E179">
            <v>0</v>
          </cell>
          <cell r="F179">
            <v>0</v>
          </cell>
        </row>
        <row r="180">
          <cell r="B180" t="str">
            <v>TB5</v>
          </cell>
          <cell r="C180">
            <v>0</v>
          </cell>
          <cell r="D180" t="str">
            <v>CHS2L</v>
          </cell>
          <cell r="E180">
            <v>0</v>
          </cell>
          <cell r="F180">
            <v>0</v>
          </cell>
        </row>
        <row r="181">
          <cell r="B181" t="str">
            <v>TB6</v>
          </cell>
          <cell r="C181">
            <v>0</v>
          </cell>
          <cell r="D181" t="str">
            <v>CHS2L</v>
          </cell>
          <cell r="E181">
            <v>0</v>
          </cell>
          <cell r="F181">
            <v>0</v>
          </cell>
        </row>
        <row r="182">
          <cell r="B182" t="str">
            <v>NA2800</v>
          </cell>
          <cell r="C182" t="str">
            <v>NA2800</v>
          </cell>
          <cell r="D182" t="str">
            <v>CHS2L</v>
          </cell>
          <cell r="E182">
            <v>7</v>
          </cell>
          <cell r="F182">
            <v>7</v>
          </cell>
        </row>
        <row r="183">
          <cell r="B183" t="str">
            <v>NA2830</v>
          </cell>
          <cell r="C183" t="str">
            <v>NA2830</v>
          </cell>
          <cell r="D183" t="str">
            <v>CHS2L</v>
          </cell>
          <cell r="E183">
            <v>7</v>
          </cell>
          <cell r="F183">
            <v>10</v>
          </cell>
        </row>
        <row r="184">
          <cell r="B184" t="str">
            <v>TA2830</v>
          </cell>
          <cell r="C184">
            <v>0</v>
          </cell>
          <cell r="D184" t="str">
            <v>CHS2L</v>
          </cell>
          <cell r="E184">
            <v>0</v>
          </cell>
          <cell r="F184">
            <v>0</v>
          </cell>
        </row>
        <row r="185">
          <cell r="B185" t="str">
            <v>TA2840</v>
          </cell>
          <cell r="C185">
            <v>0</v>
          </cell>
          <cell r="D185" t="str">
            <v>CHS2L</v>
          </cell>
          <cell r="E185">
            <v>0</v>
          </cell>
          <cell r="F185">
            <v>0</v>
          </cell>
        </row>
        <row r="186">
          <cell r="B186" t="str">
            <v>TA2850</v>
          </cell>
          <cell r="C186">
            <v>0</v>
          </cell>
          <cell r="D186" t="str">
            <v>CHS2L</v>
          </cell>
          <cell r="E186">
            <v>0</v>
          </cell>
          <cell r="F186">
            <v>0</v>
          </cell>
        </row>
        <row r="187">
          <cell r="B187" t="str">
            <v>TA2860</v>
          </cell>
          <cell r="C187">
            <v>0</v>
          </cell>
          <cell r="D187" t="str">
            <v>CHS2L</v>
          </cell>
          <cell r="E187">
            <v>0</v>
          </cell>
          <cell r="F187">
            <v>0</v>
          </cell>
        </row>
        <row r="188">
          <cell r="B188" t="str">
            <v>TA2870</v>
          </cell>
          <cell r="C188">
            <v>0</v>
          </cell>
          <cell r="D188" t="str">
            <v>CHS2L</v>
          </cell>
          <cell r="E188">
            <v>0</v>
          </cell>
          <cell r="F188">
            <v>0</v>
          </cell>
        </row>
        <row r="189">
          <cell r="B189" t="str">
            <v>TA2880</v>
          </cell>
          <cell r="C189">
            <v>0</v>
          </cell>
          <cell r="D189" t="str">
            <v>CHS2L</v>
          </cell>
          <cell r="E189">
            <v>0</v>
          </cell>
          <cell r="F189">
            <v>0</v>
          </cell>
        </row>
        <row r="190">
          <cell r="B190" t="str">
            <v>TA2770</v>
          </cell>
          <cell r="C190">
            <v>0</v>
          </cell>
          <cell r="D190" t="str">
            <v>CHS2L</v>
          </cell>
          <cell r="E190">
            <v>0</v>
          </cell>
          <cell r="F190">
            <v>0</v>
          </cell>
        </row>
        <row r="191">
          <cell r="B191" t="str">
            <v>TA2750</v>
          </cell>
          <cell r="C191">
            <v>0</v>
          </cell>
          <cell r="D191" t="str">
            <v>CHS2L</v>
          </cell>
          <cell r="E191">
            <v>0</v>
          </cell>
          <cell r="F191">
            <v>0</v>
          </cell>
        </row>
        <row r="192">
          <cell r="B192" t="str">
            <v>NA2920</v>
          </cell>
          <cell r="C192" t="str">
            <v>NA2920</v>
          </cell>
          <cell r="D192" t="str">
            <v>CHS2L</v>
          </cell>
          <cell r="E192">
            <v>7</v>
          </cell>
          <cell r="F192">
            <v>7</v>
          </cell>
        </row>
        <row r="193">
          <cell r="B193" t="str">
            <v>NA2930</v>
          </cell>
          <cell r="C193" t="str">
            <v>NA2930</v>
          </cell>
          <cell r="D193" t="str">
            <v>CHS2L</v>
          </cell>
          <cell r="E193">
            <v>7</v>
          </cell>
          <cell r="F193">
            <v>16</v>
          </cell>
        </row>
        <row r="194">
          <cell r="B194" t="str">
            <v>NA2950</v>
          </cell>
          <cell r="C194" t="str">
            <v>NA2950</v>
          </cell>
          <cell r="D194" t="str">
            <v>CHS2L</v>
          </cell>
          <cell r="E194">
            <v>5</v>
          </cell>
          <cell r="F194">
            <v>18</v>
          </cell>
        </row>
        <row r="195">
          <cell r="B195" t="str">
            <v>NA2960</v>
          </cell>
          <cell r="C195" t="str">
            <v>NA2960</v>
          </cell>
          <cell r="D195" t="str">
            <v>CHS2L</v>
          </cell>
          <cell r="E195">
            <v>5</v>
          </cell>
          <cell r="F195">
            <v>16</v>
          </cell>
        </row>
        <row r="196">
          <cell r="B196" t="str">
            <v>NA2970</v>
          </cell>
          <cell r="C196" t="str">
            <v>NA2970</v>
          </cell>
          <cell r="D196" t="str">
            <v>CHS2L</v>
          </cell>
          <cell r="E196">
            <v>7</v>
          </cell>
          <cell r="F196">
            <v>16</v>
          </cell>
        </row>
        <row r="197">
          <cell r="B197" t="str">
            <v>NA2980</v>
          </cell>
          <cell r="C197" t="str">
            <v>NA2980</v>
          </cell>
          <cell r="D197" t="str">
            <v>CHS2L</v>
          </cell>
          <cell r="E197">
            <v>5</v>
          </cell>
          <cell r="F197">
            <v>16</v>
          </cell>
        </row>
        <row r="198">
          <cell r="B198" t="str">
            <v>NA3070</v>
          </cell>
          <cell r="C198">
            <v>0</v>
          </cell>
          <cell r="D198" t="str">
            <v>CHS2L</v>
          </cell>
          <cell r="E198">
            <v>0</v>
          </cell>
          <cell r="F198">
            <v>0</v>
          </cell>
        </row>
        <row r="199">
          <cell r="B199" t="str">
            <v>NA3150</v>
          </cell>
          <cell r="C199" t="str">
            <v>NA3150</v>
          </cell>
          <cell r="D199" t="str">
            <v>CHS2L</v>
          </cell>
          <cell r="E199">
            <v>4</v>
          </cell>
          <cell r="F199">
            <v>12</v>
          </cell>
        </row>
        <row r="200">
          <cell r="B200" t="str">
            <v>NA3090</v>
          </cell>
          <cell r="C200">
            <v>0</v>
          </cell>
          <cell r="D200" t="str">
            <v>CHS2L</v>
          </cell>
          <cell r="E200">
            <v>0</v>
          </cell>
          <cell r="F200">
            <v>0</v>
          </cell>
        </row>
        <row r="201">
          <cell r="B201" t="str">
            <v>NA3120</v>
          </cell>
          <cell r="C201" t="str">
            <v>NA3120</v>
          </cell>
          <cell r="D201" t="str">
            <v>CHS2L</v>
          </cell>
          <cell r="E201">
            <v>4</v>
          </cell>
          <cell r="F201">
            <v>12</v>
          </cell>
        </row>
        <row r="202">
          <cell r="B202" t="str">
            <v>TA1773</v>
          </cell>
          <cell r="C202" t="str">
            <v>TA1770</v>
          </cell>
          <cell r="D202" t="str">
            <v>CHS2L</v>
          </cell>
          <cell r="E202">
            <v>0</v>
          </cell>
          <cell r="F202">
            <v>19</v>
          </cell>
        </row>
        <row r="203">
          <cell r="B203" t="str">
            <v>TA1774</v>
          </cell>
          <cell r="C203" t="str">
            <v>TA1770</v>
          </cell>
          <cell r="D203" t="str">
            <v>CHS2L</v>
          </cell>
          <cell r="E203">
            <v>0</v>
          </cell>
          <cell r="F203">
            <v>19</v>
          </cell>
        </row>
        <row r="204">
          <cell r="B204" t="str">
            <v>TA1890</v>
          </cell>
          <cell r="C204" t="str">
            <v>TA1890</v>
          </cell>
          <cell r="D204" t="str">
            <v>CHS2L</v>
          </cell>
          <cell r="E204">
            <v>5</v>
          </cell>
          <cell r="F204">
            <v>7</v>
          </cell>
        </row>
        <row r="205">
          <cell r="B205" t="str">
            <v>Project 560</v>
          </cell>
          <cell r="C205">
            <v>0</v>
          </cell>
          <cell r="D205" t="str">
            <v>CHS2L</v>
          </cell>
          <cell r="E205">
            <v>0</v>
          </cell>
          <cell r="F205">
            <v>0</v>
          </cell>
        </row>
        <row r="206">
          <cell r="B206" t="str">
            <v>TA2631</v>
          </cell>
          <cell r="C206" t="str">
            <v>TA2630</v>
          </cell>
          <cell r="D206" t="str">
            <v>CHS2L</v>
          </cell>
          <cell r="E206">
            <v>5</v>
          </cell>
          <cell r="F206">
            <v>17</v>
          </cell>
        </row>
        <row r="207">
          <cell r="B207" t="str">
            <v>TA2632</v>
          </cell>
          <cell r="C207" t="str">
            <v>TA2630</v>
          </cell>
          <cell r="D207" t="str">
            <v>CHS2L</v>
          </cell>
          <cell r="E207">
            <v>5</v>
          </cell>
          <cell r="F207">
            <v>17</v>
          </cell>
        </row>
        <row r="208">
          <cell r="B208" t="str">
            <v>TA2670</v>
          </cell>
          <cell r="C208" t="str">
            <v>TA2670</v>
          </cell>
          <cell r="D208" t="str">
            <v>CHS2L</v>
          </cell>
          <cell r="E208">
            <v>7</v>
          </cell>
          <cell r="F208">
            <v>10</v>
          </cell>
        </row>
        <row r="209">
          <cell r="B209" t="str">
            <v>TA2680</v>
          </cell>
          <cell r="C209" t="str">
            <v>TA2680</v>
          </cell>
          <cell r="D209" t="str">
            <v>CHS2L</v>
          </cell>
          <cell r="E209">
            <v>5</v>
          </cell>
          <cell r="F209">
            <v>17</v>
          </cell>
        </row>
        <row r="210">
          <cell r="B210" t="str">
            <v>TA2690</v>
          </cell>
          <cell r="C210" t="str">
            <v>TA2690</v>
          </cell>
          <cell r="D210" t="str">
            <v>CHS2L</v>
          </cell>
          <cell r="E210">
            <v>5</v>
          </cell>
          <cell r="F210">
            <v>5</v>
          </cell>
        </row>
        <row r="211">
          <cell r="B211" t="str">
            <v>TA2700</v>
          </cell>
          <cell r="C211" t="str">
            <v>TA2700</v>
          </cell>
          <cell r="D211" t="str">
            <v>CHS2L</v>
          </cell>
          <cell r="E211">
            <v>7</v>
          </cell>
          <cell r="F211">
            <v>13</v>
          </cell>
        </row>
        <row r="212">
          <cell r="B212" t="str">
            <v>TA2711</v>
          </cell>
          <cell r="C212" t="str">
            <v>TA2710</v>
          </cell>
          <cell r="D212" t="str">
            <v>CHS2L</v>
          </cell>
          <cell r="E212">
            <v>4</v>
          </cell>
          <cell r="F212">
            <v>17</v>
          </cell>
        </row>
        <row r="213">
          <cell r="B213" t="str">
            <v>TA2712</v>
          </cell>
          <cell r="C213" t="str">
            <v>TA2710</v>
          </cell>
          <cell r="D213" t="str">
            <v>CHS2L</v>
          </cell>
          <cell r="E213">
            <v>4</v>
          </cell>
          <cell r="F213">
            <v>17</v>
          </cell>
        </row>
        <row r="214">
          <cell r="B214" t="str">
            <v>NA2180</v>
          </cell>
          <cell r="C214" t="str">
            <v>NA2180</v>
          </cell>
          <cell r="D214" t="str">
            <v>CHS2L</v>
          </cell>
          <cell r="E214">
            <v>7</v>
          </cell>
          <cell r="F214">
            <v>6</v>
          </cell>
        </row>
        <row r="215">
          <cell r="B215" t="str">
            <v>NA2750</v>
          </cell>
          <cell r="C215" t="str">
            <v>NA3030</v>
          </cell>
          <cell r="D215" t="str">
            <v>CHS2L</v>
          </cell>
          <cell r="E215">
            <v>5</v>
          </cell>
          <cell r="F215">
            <v>19</v>
          </cell>
        </row>
        <row r="216">
          <cell r="B216" t="str">
            <v>NA2630</v>
          </cell>
          <cell r="C216">
            <v>0</v>
          </cell>
          <cell r="D216" t="str">
            <v>CHS2L</v>
          </cell>
          <cell r="E216">
            <v>7</v>
          </cell>
          <cell r="F216">
            <v>0</v>
          </cell>
        </row>
        <row r="217">
          <cell r="B217" t="str">
            <v>NA2680</v>
          </cell>
          <cell r="C217" t="str">
            <v>NA3000</v>
          </cell>
          <cell r="D217" t="str">
            <v>CHS2L</v>
          </cell>
          <cell r="E217">
            <v>4</v>
          </cell>
          <cell r="F217">
            <v>16</v>
          </cell>
        </row>
        <row r="218">
          <cell r="B218" t="str">
            <v>NA2740</v>
          </cell>
          <cell r="C218" t="str">
            <v>NA3040</v>
          </cell>
          <cell r="D218" t="str">
            <v>CHS2L</v>
          </cell>
          <cell r="E218">
            <v>7</v>
          </cell>
          <cell r="F218">
            <v>10</v>
          </cell>
        </row>
        <row r="219">
          <cell r="B219" t="str">
            <v>NA1830</v>
          </cell>
          <cell r="C219" t="str">
            <v>NA183A</v>
          </cell>
          <cell r="D219" t="str">
            <v>CHS2L</v>
          </cell>
          <cell r="E219">
            <v>7</v>
          </cell>
          <cell r="F219">
            <v>1</v>
          </cell>
        </row>
        <row r="220">
          <cell r="B220" t="str">
            <v>NA183A</v>
          </cell>
          <cell r="C220">
            <v>0</v>
          </cell>
          <cell r="D220" t="str">
            <v>CHS2L</v>
          </cell>
          <cell r="E220">
            <v>7</v>
          </cell>
          <cell r="F220">
            <v>0</v>
          </cell>
        </row>
        <row r="221">
          <cell r="B221" t="str">
            <v>TA1830</v>
          </cell>
          <cell r="C221" t="str">
            <v>TA1830</v>
          </cell>
          <cell r="D221" t="str">
            <v>CHS2L</v>
          </cell>
          <cell r="E221">
            <v>0</v>
          </cell>
          <cell r="F221">
            <v>0</v>
          </cell>
        </row>
        <row r="222">
          <cell r="B222" t="str">
            <v>HN0300</v>
          </cell>
          <cell r="C222" t="str">
            <v>HN0300</v>
          </cell>
          <cell r="D222" t="str">
            <v>CHS2L</v>
          </cell>
          <cell r="E222">
            <v>0</v>
          </cell>
          <cell r="F222">
            <v>0</v>
          </cell>
        </row>
        <row r="223">
          <cell r="B223" t="str">
            <v>TA1670</v>
          </cell>
          <cell r="C223" t="str">
            <v>TA1670</v>
          </cell>
          <cell r="D223" t="str">
            <v>CHS2L</v>
          </cell>
          <cell r="E223">
            <v>7</v>
          </cell>
          <cell r="F223">
            <v>7</v>
          </cell>
        </row>
        <row r="224">
          <cell r="B224" t="str">
            <v>NA1850</v>
          </cell>
          <cell r="C224" t="str">
            <v>NA1850</v>
          </cell>
          <cell r="D224" t="str">
            <v>CHS2L</v>
          </cell>
          <cell r="E224">
            <v>4</v>
          </cell>
          <cell r="F224">
            <v>19</v>
          </cell>
        </row>
        <row r="225">
          <cell r="B225" t="str">
            <v>PM1430</v>
          </cell>
          <cell r="C225" t="str">
            <v>PM1430</v>
          </cell>
          <cell r="D225" t="str">
            <v>CHS2L</v>
          </cell>
          <cell r="E225">
            <v>4</v>
          </cell>
          <cell r="F225">
            <v>7</v>
          </cell>
        </row>
        <row r="226">
          <cell r="B226" t="str">
            <v>NA1420</v>
          </cell>
          <cell r="C226">
            <v>0</v>
          </cell>
          <cell r="D226" t="str">
            <v>CHS2L</v>
          </cell>
          <cell r="E226">
            <v>0</v>
          </cell>
          <cell r="F226">
            <v>0</v>
          </cell>
        </row>
        <row r="227">
          <cell r="B227" t="str">
            <v>NA1480</v>
          </cell>
          <cell r="C227">
            <v>0</v>
          </cell>
          <cell r="D227" t="str">
            <v>CHS2L</v>
          </cell>
          <cell r="E227">
            <v>0</v>
          </cell>
          <cell r="F227">
            <v>0</v>
          </cell>
        </row>
        <row r="228">
          <cell r="B228" t="str">
            <v>TA2120</v>
          </cell>
          <cell r="C228" t="str">
            <v>TA2120</v>
          </cell>
          <cell r="D228" t="str">
            <v>CHS2L</v>
          </cell>
          <cell r="E228">
            <v>0</v>
          </cell>
          <cell r="F228">
            <v>0</v>
          </cell>
        </row>
        <row r="229">
          <cell r="B229" t="str">
            <v>NA1430</v>
          </cell>
          <cell r="C229" t="str">
            <v>NA1430</v>
          </cell>
          <cell r="D229" t="str">
            <v>CHS2L</v>
          </cell>
          <cell r="E229">
            <v>5</v>
          </cell>
          <cell r="F229">
            <v>15</v>
          </cell>
        </row>
        <row r="230">
          <cell r="B230" t="str">
            <v>NA1440</v>
          </cell>
          <cell r="C230" t="str">
            <v>NA1440</v>
          </cell>
          <cell r="D230" t="str">
            <v>CHS2L</v>
          </cell>
          <cell r="E230">
            <v>4</v>
          </cell>
          <cell r="F230">
            <v>15</v>
          </cell>
        </row>
        <row r="231">
          <cell r="B231" t="str">
            <v>NA1450</v>
          </cell>
          <cell r="C231" t="str">
            <v>NA1450</v>
          </cell>
          <cell r="D231" t="str">
            <v>CHS2L</v>
          </cell>
          <cell r="E231">
            <v>7</v>
          </cell>
          <cell r="F231">
            <v>14</v>
          </cell>
        </row>
        <row r="232">
          <cell r="B232" t="str">
            <v>TA3050</v>
          </cell>
          <cell r="C232" t="str">
            <v>TA3050</v>
          </cell>
          <cell r="D232" t="str">
            <v>CHS2L</v>
          </cell>
          <cell r="E232">
            <v>2</v>
          </cell>
          <cell r="F232">
            <v>15</v>
          </cell>
        </row>
        <row r="233">
          <cell r="B233" t="str">
            <v>TB2</v>
          </cell>
          <cell r="C233">
            <v>0</v>
          </cell>
          <cell r="D233" t="str">
            <v>CHS2L</v>
          </cell>
          <cell r="E233">
            <v>0</v>
          </cell>
          <cell r="F233">
            <v>0</v>
          </cell>
        </row>
        <row r="234">
          <cell r="B234" t="str">
            <v>TA1790</v>
          </cell>
          <cell r="C234">
            <v>0</v>
          </cell>
          <cell r="D234" t="str">
            <v>CHS2L</v>
          </cell>
          <cell r="E234">
            <v>0</v>
          </cell>
          <cell r="F234">
            <v>0</v>
          </cell>
        </row>
        <row r="235">
          <cell r="B235" t="str">
            <v>TA1780</v>
          </cell>
          <cell r="C235" t="str">
            <v>TA1780</v>
          </cell>
          <cell r="D235" t="str">
            <v>CHS2L</v>
          </cell>
          <cell r="E235">
            <v>0</v>
          </cell>
          <cell r="F235">
            <v>0</v>
          </cell>
        </row>
        <row r="236">
          <cell r="B236" t="str">
            <v>NA1860</v>
          </cell>
          <cell r="C236" t="str">
            <v>NA1860</v>
          </cell>
          <cell r="D236" t="str">
            <v>CHS2L</v>
          </cell>
          <cell r="E236">
            <v>7</v>
          </cell>
          <cell r="F236">
            <v>7</v>
          </cell>
        </row>
        <row r="237">
          <cell r="B237" t="str">
            <v>TA1340</v>
          </cell>
          <cell r="C237" t="str">
            <v>TA1340</v>
          </cell>
          <cell r="D237" t="str">
            <v>CHS2L</v>
          </cell>
          <cell r="E237">
            <v>5</v>
          </cell>
          <cell r="F237">
            <v>14</v>
          </cell>
        </row>
        <row r="238">
          <cell r="B238" t="str">
            <v>TA1350</v>
          </cell>
          <cell r="C238" t="str">
            <v>TA1350</v>
          </cell>
          <cell r="D238" t="str">
            <v>CHS2L</v>
          </cell>
          <cell r="E238">
            <v>6</v>
          </cell>
          <cell r="F238">
            <v>14</v>
          </cell>
        </row>
        <row r="239">
          <cell r="B239" t="str">
            <v>TA1420</v>
          </cell>
          <cell r="C239" t="str">
            <v>TA1420</v>
          </cell>
          <cell r="D239" t="str">
            <v>CHS2L</v>
          </cell>
          <cell r="E239">
            <v>7</v>
          </cell>
          <cell r="F239">
            <v>15</v>
          </cell>
        </row>
        <row r="240">
          <cell r="B240" t="str">
            <v>TA1450</v>
          </cell>
          <cell r="C240" t="str">
            <v>TA1450</v>
          </cell>
          <cell r="D240" t="str">
            <v>CHS2L</v>
          </cell>
          <cell r="E240">
            <v>6</v>
          </cell>
          <cell r="F240">
            <v>14</v>
          </cell>
        </row>
        <row r="241">
          <cell r="B241" t="str">
            <v>TA0570</v>
          </cell>
          <cell r="C241" t="str">
            <v>TA0570</v>
          </cell>
          <cell r="D241" t="str">
            <v>CHS2L</v>
          </cell>
          <cell r="E241">
            <v>5</v>
          </cell>
          <cell r="F241">
            <v>12</v>
          </cell>
        </row>
        <row r="242">
          <cell r="B242" t="str">
            <v>NA1580</v>
          </cell>
          <cell r="C242" t="str">
            <v>NA1580</v>
          </cell>
          <cell r="D242" t="str">
            <v>CHS2L</v>
          </cell>
          <cell r="E242">
            <v>5</v>
          </cell>
          <cell r="F242">
            <v>2</v>
          </cell>
        </row>
        <row r="243">
          <cell r="B243" t="str">
            <v>NA1610</v>
          </cell>
          <cell r="C243" t="str">
            <v>NA1610</v>
          </cell>
          <cell r="D243" t="str">
            <v>CHS2L</v>
          </cell>
          <cell r="E243">
            <v>5</v>
          </cell>
          <cell r="F243">
            <v>2</v>
          </cell>
        </row>
        <row r="244">
          <cell r="B244" t="str">
            <v>NA2900</v>
          </cell>
          <cell r="C244" t="str">
            <v>NA2900</v>
          </cell>
          <cell r="D244" t="str">
            <v>CHS2L</v>
          </cell>
          <cell r="E244">
            <v>6</v>
          </cell>
          <cell r="F244">
            <v>2</v>
          </cell>
        </row>
        <row r="245">
          <cell r="B245" t="str">
            <v>TA1430</v>
          </cell>
          <cell r="C245">
            <v>0</v>
          </cell>
          <cell r="D245" t="str">
            <v>CHS2L</v>
          </cell>
          <cell r="E245">
            <v>0</v>
          </cell>
          <cell r="F245">
            <v>0</v>
          </cell>
        </row>
        <row r="246">
          <cell r="B246" t="str">
            <v>TA1460</v>
          </cell>
          <cell r="C246">
            <v>0</v>
          </cell>
          <cell r="D246" t="str">
            <v>CHS2L</v>
          </cell>
          <cell r="E246">
            <v>0</v>
          </cell>
          <cell r="F246">
            <v>0</v>
          </cell>
        </row>
        <row r="247">
          <cell r="B247" t="str">
            <v>PM1110</v>
          </cell>
          <cell r="C247" t="str">
            <v>PM1110</v>
          </cell>
          <cell r="D247" t="str">
            <v>CHS2L</v>
          </cell>
          <cell r="E247">
            <v>6</v>
          </cell>
          <cell r="F247">
            <v>15</v>
          </cell>
        </row>
        <row r="248">
          <cell r="B248" t="str">
            <v>PM1230</v>
          </cell>
          <cell r="C248" t="str">
            <v>PM1230</v>
          </cell>
          <cell r="D248" t="str">
            <v>CHS2L</v>
          </cell>
          <cell r="E248">
            <v>0</v>
          </cell>
          <cell r="F248">
            <v>15</v>
          </cell>
        </row>
        <row r="249">
          <cell r="B249" t="str">
            <v>TA1440</v>
          </cell>
          <cell r="C249" t="str">
            <v>TA1440</v>
          </cell>
          <cell r="D249" t="str">
            <v>CHS2L</v>
          </cell>
          <cell r="E249">
            <v>5</v>
          </cell>
          <cell r="F249">
            <v>15</v>
          </cell>
        </row>
        <row r="250">
          <cell r="B250" t="str">
            <v>TA1470</v>
          </cell>
          <cell r="C250" t="str">
            <v>TA1470</v>
          </cell>
          <cell r="D250" t="str">
            <v>CHS2L</v>
          </cell>
          <cell r="E250">
            <v>5</v>
          </cell>
          <cell r="F250">
            <v>15</v>
          </cell>
        </row>
        <row r="251">
          <cell r="B251" t="str">
            <v>PM1270</v>
          </cell>
          <cell r="C251" t="str">
            <v>PM1270</v>
          </cell>
          <cell r="D251" t="str">
            <v>CHS2L</v>
          </cell>
          <cell r="E251">
            <v>5</v>
          </cell>
          <cell r="F251">
            <v>15</v>
          </cell>
        </row>
        <row r="252">
          <cell r="B252" t="str">
            <v>PM1280</v>
          </cell>
          <cell r="C252" t="str">
            <v>PM1280</v>
          </cell>
          <cell r="D252" t="str">
            <v>CHS2L</v>
          </cell>
          <cell r="E252">
            <v>4</v>
          </cell>
          <cell r="F252">
            <v>15</v>
          </cell>
        </row>
        <row r="253">
          <cell r="B253" t="str">
            <v>TA2640</v>
          </cell>
          <cell r="C253" t="str">
            <v>TA2640</v>
          </cell>
          <cell r="D253" t="str">
            <v>CHS2L</v>
          </cell>
          <cell r="E253">
            <v>5</v>
          </cell>
          <cell r="F253">
            <v>14</v>
          </cell>
        </row>
        <row r="254">
          <cell r="B254" t="str">
            <v>TA2650</v>
          </cell>
          <cell r="C254" t="str">
            <v>TA2650</v>
          </cell>
          <cell r="D254" t="str">
            <v>CHS2L</v>
          </cell>
          <cell r="E254">
            <v>5</v>
          </cell>
          <cell r="F254">
            <v>14</v>
          </cell>
        </row>
        <row r="255">
          <cell r="B255" t="str">
            <v>TA2633</v>
          </cell>
          <cell r="C255" t="str">
            <v>TA2630</v>
          </cell>
          <cell r="D255" t="str">
            <v>CHS2L</v>
          </cell>
          <cell r="E255">
            <v>5</v>
          </cell>
          <cell r="F255">
            <v>17</v>
          </cell>
        </row>
        <row r="256">
          <cell r="B256" t="str">
            <v>TA2634</v>
          </cell>
          <cell r="C256" t="str">
            <v>TA2630</v>
          </cell>
          <cell r="D256" t="str">
            <v>CHS2L</v>
          </cell>
          <cell r="E256">
            <v>5</v>
          </cell>
          <cell r="F256">
            <v>17</v>
          </cell>
        </row>
        <row r="257">
          <cell r="B257" t="str">
            <v>TA2660</v>
          </cell>
          <cell r="C257" t="str">
            <v>TA2660</v>
          </cell>
          <cell r="D257" t="str">
            <v>CHS2L</v>
          </cell>
          <cell r="E257">
            <v>5</v>
          </cell>
          <cell r="F257">
            <v>17</v>
          </cell>
        </row>
        <row r="258">
          <cell r="B258" t="str">
            <v>NA3110</v>
          </cell>
          <cell r="C258" t="str">
            <v>NA3110</v>
          </cell>
          <cell r="D258" t="str">
            <v>CHS2L</v>
          </cell>
          <cell r="E258">
            <v>4</v>
          </cell>
          <cell r="F258">
            <v>15</v>
          </cell>
        </row>
        <row r="259">
          <cell r="B259" t="str">
            <v>NA3080</v>
          </cell>
          <cell r="C259" t="str">
            <v>NA3080</v>
          </cell>
          <cell r="D259" t="str">
            <v>CHS2L</v>
          </cell>
          <cell r="E259">
            <v>5</v>
          </cell>
          <cell r="F259">
            <v>15</v>
          </cell>
        </row>
        <row r="260">
          <cell r="B260" t="str">
            <v>TA3000</v>
          </cell>
          <cell r="C260" t="str">
            <v>TA3000</v>
          </cell>
          <cell r="D260" t="str">
            <v>CHS2L</v>
          </cell>
          <cell r="E260">
            <v>7</v>
          </cell>
          <cell r="F260">
            <v>14</v>
          </cell>
        </row>
        <row r="261">
          <cell r="B261" t="str">
            <v>TA3010</v>
          </cell>
          <cell r="C261" t="str">
            <v>TA3010</v>
          </cell>
          <cell r="D261" t="str">
            <v>CHS2L</v>
          </cell>
          <cell r="E261">
            <v>5</v>
          </cell>
          <cell r="F261">
            <v>14</v>
          </cell>
        </row>
        <row r="262">
          <cell r="B262" t="str">
            <v>TA3060</v>
          </cell>
          <cell r="C262" t="str">
            <v>TA3060</v>
          </cell>
          <cell r="D262" t="str">
            <v>CHS2L</v>
          </cell>
          <cell r="E262">
            <v>5</v>
          </cell>
          <cell r="F262">
            <v>15</v>
          </cell>
        </row>
        <row r="263">
          <cell r="B263" t="str">
            <v>TR1</v>
          </cell>
          <cell r="C263">
            <v>0</v>
          </cell>
          <cell r="D263" t="str">
            <v>CHS2L</v>
          </cell>
          <cell r="E263">
            <v>0</v>
          </cell>
          <cell r="F263">
            <v>0</v>
          </cell>
        </row>
        <row r="264">
          <cell r="B264" t="str">
            <v>TR2</v>
          </cell>
          <cell r="C264">
            <v>0</v>
          </cell>
          <cell r="D264" t="str">
            <v>CHS2L</v>
          </cell>
          <cell r="E264">
            <v>0</v>
          </cell>
          <cell r="F264">
            <v>0</v>
          </cell>
        </row>
        <row r="265">
          <cell r="B265" t="str">
            <v>NA3280</v>
          </cell>
          <cell r="C265">
            <v>0</v>
          </cell>
          <cell r="D265" t="str">
            <v>CHS2L</v>
          </cell>
          <cell r="E265">
            <v>5</v>
          </cell>
          <cell r="F265">
            <v>0</v>
          </cell>
        </row>
        <row r="266">
          <cell r="B266" t="str">
            <v>NA3291</v>
          </cell>
          <cell r="C266">
            <v>0</v>
          </cell>
          <cell r="D266" t="str">
            <v>CHS2L</v>
          </cell>
          <cell r="E266">
            <v>5</v>
          </cell>
          <cell r="F266">
            <v>0</v>
          </cell>
        </row>
        <row r="267">
          <cell r="B267" t="str">
            <v>NA3292</v>
          </cell>
          <cell r="C267">
            <v>0</v>
          </cell>
          <cell r="D267" t="str">
            <v>CHS2L</v>
          </cell>
          <cell r="E267">
            <v>4</v>
          </cell>
          <cell r="F267">
            <v>0</v>
          </cell>
        </row>
        <row r="268">
          <cell r="B268" t="str">
            <v>NA3300</v>
          </cell>
          <cell r="C268">
            <v>0</v>
          </cell>
          <cell r="D268" t="str">
            <v>CHS2L</v>
          </cell>
          <cell r="E268">
            <v>0</v>
          </cell>
          <cell r="F268">
            <v>0</v>
          </cell>
        </row>
        <row r="269">
          <cell r="B269" t="str">
            <v>NA3320</v>
          </cell>
          <cell r="C269" t="str">
            <v>NA3320</v>
          </cell>
          <cell r="D269" t="str">
            <v>CHS2L</v>
          </cell>
          <cell r="E269">
            <v>0</v>
          </cell>
          <cell r="F269">
            <v>19</v>
          </cell>
        </row>
        <row r="270">
          <cell r="B270" t="str">
            <v>NA3370</v>
          </cell>
          <cell r="C270">
            <v>0</v>
          </cell>
          <cell r="D270" t="str">
            <v>CHS2L</v>
          </cell>
          <cell r="E270">
            <v>0</v>
          </cell>
          <cell r="F270">
            <v>0</v>
          </cell>
        </row>
        <row r="271">
          <cell r="B271" t="str">
            <v>NA3301</v>
          </cell>
          <cell r="C271" t="str">
            <v>NA3301</v>
          </cell>
          <cell r="D271" t="str">
            <v>CHS2L</v>
          </cell>
          <cell r="E271">
            <v>0</v>
          </cell>
          <cell r="F271">
            <v>19</v>
          </cell>
        </row>
        <row r="272">
          <cell r="B272" t="str">
            <v>NA1600</v>
          </cell>
          <cell r="C272" t="str">
            <v>NA1600</v>
          </cell>
          <cell r="D272" t="str">
            <v>DL2</v>
          </cell>
          <cell r="E272">
            <v>4</v>
          </cell>
          <cell r="F272">
            <v>1</v>
          </cell>
        </row>
        <row r="273">
          <cell r="B273" t="str">
            <v>NA1410</v>
          </cell>
          <cell r="C273" t="str">
            <v>NA1410</v>
          </cell>
          <cell r="D273" t="str">
            <v>DL2</v>
          </cell>
          <cell r="E273">
            <v>4</v>
          </cell>
          <cell r="F273">
            <v>7</v>
          </cell>
        </row>
        <row r="274">
          <cell r="B274" t="str">
            <v>TA166B</v>
          </cell>
          <cell r="C274" t="str">
            <v>TA166B</v>
          </cell>
          <cell r="D274" t="str">
            <v>DL2</v>
          </cell>
          <cell r="E274">
            <v>4</v>
          </cell>
          <cell r="F274">
            <v>4</v>
          </cell>
        </row>
        <row r="275">
          <cell r="B275" t="str">
            <v>NA1680</v>
          </cell>
          <cell r="C275" t="str">
            <v>NA1680</v>
          </cell>
          <cell r="D275" t="str">
            <v>DL2</v>
          </cell>
          <cell r="E275">
            <v>4</v>
          </cell>
          <cell r="F275">
            <v>6</v>
          </cell>
        </row>
        <row r="276">
          <cell r="B276" t="str">
            <v>NA2780</v>
          </cell>
          <cell r="C276" t="str">
            <v>NA2780</v>
          </cell>
          <cell r="D276" t="str">
            <v>DL2</v>
          </cell>
          <cell r="E276">
            <v>5</v>
          </cell>
          <cell r="F276">
            <v>5</v>
          </cell>
        </row>
        <row r="277">
          <cell r="B277" t="str">
            <v>TA3030</v>
          </cell>
          <cell r="C277" t="str">
            <v>TA3030</v>
          </cell>
          <cell r="D277" t="str">
            <v>DL2</v>
          </cell>
          <cell r="E277">
            <v>5</v>
          </cell>
          <cell r="F277">
            <v>8</v>
          </cell>
        </row>
        <row r="278">
          <cell r="B278" t="str">
            <v>TA3040</v>
          </cell>
          <cell r="C278" t="str">
            <v>TA3040</v>
          </cell>
          <cell r="D278" t="str">
            <v>DL2</v>
          </cell>
          <cell r="E278">
            <v>4</v>
          </cell>
          <cell r="F278">
            <v>9</v>
          </cell>
        </row>
        <row r="279">
          <cell r="B279" t="str">
            <v>PM1120</v>
          </cell>
          <cell r="C279" t="str">
            <v>PM1120</v>
          </cell>
          <cell r="D279" t="str">
            <v>DL2</v>
          </cell>
          <cell r="E279">
            <v>7</v>
          </cell>
          <cell r="F279">
            <v>1</v>
          </cell>
        </row>
        <row r="280">
          <cell r="B280" t="str">
            <v>TA1820</v>
          </cell>
          <cell r="C280" t="str">
            <v>TA1820</v>
          </cell>
          <cell r="D280" t="str">
            <v>DL2</v>
          </cell>
          <cell r="E280">
            <v>0</v>
          </cell>
          <cell r="F280">
            <v>0</v>
          </cell>
        </row>
        <row r="281">
          <cell r="B281" t="str">
            <v>TA2040</v>
          </cell>
          <cell r="C281" t="str">
            <v>TA2040</v>
          </cell>
          <cell r="D281" t="str">
            <v>DL2</v>
          </cell>
          <cell r="E281">
            <v>0</v>
          </cell>
          <cell r="F281">
            <v>4</v>
          </cell>
        </row>
        <row r="282">
          <cell r="B282" t="str">
            <v>NA1570</v>
          </cell>
          <cell r="C282" t="str">
            <v>NA1570</v>
          </cell>
          <cell r="D282" t="str">
            <v>DL2</v>
          </cell>
          <cell r="E282">
            <v>5</v>
          </cell>
          <cell r="F282">
            <v>4</v>
          </cell>
        </row>
        <row r="283">
          <cell r="B283" t="str">
            <v>TA1220</v>
          </cell>
          <cell r="C283" t="str">
            <v>TA1220</v>
          </cell>
          <cell r="D283" t="str">
            <v>DL2</v>
          </cell>
          <cell r="E283">
            <v>7</v>
          </cell>
          <cell r="F283">
            <v>12</v>
          </cell>
        </row>
        <row r="284">
          <cell r="B284" t="str">
            <v>TA1180</v>
          </cell>
          <cell r="C284" t="str">
            <v>TA1180</v>
          </cell>
          <cell r="D284" t="str">
            <v>DL2</v>
          </cell>
          <cell r="E284">
            <v>4</v>
          </cell>
          <cell r="F284">
            <v>12</v>
          </cell>
        </row>
        <row r="285">
          <cell r="B285" t="str">
            <v>TA1060</v>
          </cell>
          <cell r="C285" t="str">
            <v>TA1060</v>
          </cell>
          <cell r="D285" t="str">
            <v>DL2</v>
          </cell>
          <cell r="E285">
            <v>4</v>
          </cell>
          <cell r="F285">
            <v>1</v>
          </cell>
        </row>
        <row r="286">
          <cell r="B286" t="str">
            <v>TA1140</v>
          </cell>
          <cell r="C286" t="str">
            <v>TA1140</v>
          </cell>
          <cell r="D286" t="str">
            <v>DL2</v>
          </cell>
          <cell r="E286">
            <v>5</v>
          </cell>
          <cell r="F286">
            <v>2</v>
          </cell>
        </row>
        <row r="287">
          <cell r="B287" t="str">
            <v>NA1610</v>
          </cell>
          <cell r="C287" t="str">
            <v>NA1610</v>
          </cell>
          <cell r="D287" t="str">
            <v>DL2</v>
          </cell>
          <cell r="E287">
            <v>5</v>
          </cell>
          <cell r="F287">
            <v>2</v>
          </cell>
        </row>
        <row r="288">
          <cell r="B288" t="str">
            <v>NA1580</v>
          </cell>
          <cell r="C288" t="str">
            <v>NA1580</v>
          </cell>
          <cell r="D288" t="str">
            <v>DL2</v>
          </cell>
          <cell r="E288">
            <v>5</v>
          </cell>
          <cell r="F288">
            <v>2</v>
          </cell>
        </row>
        <row r="289">
          <cell r="B289" t="str">
            <v>TA0570</v>
          </cell>
          <cell r="C289" t="str">
            <v>TA0570</v>
          </cell>
          <cell r="D289" t="str">
            <v>DL2</v>
          </cell>
          <cell r="E289">
            <v>5</v>
          </cell>
          <cell r="F289">
            <v>12</v>
          </cell>
        </row>
        <row r="290">
          <cell r="B290" t="str">
            <v>NA1640</v>
          </cell>
          <cell r="C290" t="str">
            <v>NA1640</v>
          </cell>
          <cell r="D290" t="str">
            <v>DL2</v>
          </cell>
          <cell r="E290">
            <v>4</v>
          </cell>
          <cell r="F290">
            <v>2</v>
          </cell>
        </row>
        <row r="291">
          <cell r="B291" t="str">
            <v>NA2900</v>
          </cell>
          <cell r="C291" t="str">
            <v>NA2900</v>
          </cell>
          <cell r="D291" t="str">
            <v>DL2</v>
          </cell>
          <cell r="E291">
            <v>6</v>
          </cell>
          <cell r="F291">
            <v>2</v>
          </cell>
        </row>
        <row r="292">
          <cell r="B292" t="str">
            <v>NA2040</v>
          </cell>
          <cell r="C292" t="str">
            <v>NA2040</v>
          </cell>
          <cell r="D292" t="str">
            <v>DL2</v>
          </cell>
          <cell r="E292">
            <v>7</v>
          </cell>
          <cell r="F292">
            <v>6</v>
          </cell>
        </row>
        <row r="293">
          <cell r="B293" t="str">
            <v>NA2050</v>
          </cell>
          <cell r="C293" t="str">
            <v>NA2050</v>
          </cell>
          <cell r="D293" t="str">
            <v>DL2</v>
          </cell>
          <cell r="E293">
            <v>4</v>
          </cell>
          <cell r="F293">
            <v>6</v>
          </cell>
        </row>
        <row r="294">
          <cell r="B294" t="str">
            <v>TA2990</v>
          </cell>
          <cell r="C294" t="str">
            <v>TA2990</v>
          </cell>
          <cell r="D294" t="str">
            <v>DL2</v>
          </cell>
          <cell r="E294">
            <v>6</v>
          </cell>
          <cell r="F294">
            <v>4</v>
          </cell>
        </row>
        <row r="295">
          <cell r="B295" t="str">
            <v>MS0240</v>
          </cell>
          <cell r="C295" t="str">
            <v>MS0240</v>
          </cell>
          <cell r="D295" t="str">
            <v>DL2</v>
          </cell>
          <cell r="E295">
            <v>1</v>
          </cell>
          <cell r="F295">
            <v>2</v>
          </cell>
        </row>
        <row r="296">
          <cell r="B296" t="str">
            <v>NA2060</v>
          </cell>
          <cell r="C296" t="str">
            <v>NA2060</v>
          </cell>
          <cell r="D296" t="str">
            <v>DL1</v>
          </cell>
          <cell r="E296">
            <v>7</v>
          </cell>
          <cell r="F296">
            <v>11</v>
          </cell>
        </row>
        <row r="297">
          <cell r="B297" t="str">
            <v>NA2120</v>
          </cell>
          <cell r="C297" t="str">
            <v>NA2120</v>
          </cell>
          <cell r="D297" t="str">
            <v>DL1</v>
          </cell>
          <cell r="E297">
            <v>7</v>
          </cell>
          <cell r="F297">
            <v>13</v>
          </cell>
        </row>
        <row r="298">
          <cell r="B298" t="str">
            <v>NA2140</v>
          </cell>
          <cell r="C298" t="str">
            <v>NA2140</v>
          </cell>
          <cell r="D298" t="str">
            <v>DL1</v>
          </cell>
          <cell r="E298">
            <v>5</v>
          </cell>
          <cell r="F298">
            <v>12</v>
          </cell>
        </row>
        <row r="299">
          <cell r="B299" t="str">
            <v>NA1280</v>
          </cell>
          <cell r="C299" t="str">
            <v>NA1280</v>
          </cell>
          <cell r="D299" t="str">
            <v>DL1</v>
          </cell>
          <cell r="E299">
            <v>4</v>
          </cell>
          <cell r="F299">
            <v>0</v>
          </cell>
        </row>
        <row r="300">
          <cell r="B300" t="str">
            <v>NA1662</v>
          </cell>
          <cell r="C300" t="str">
            <v>NA1660</v>
          </cell>
          <cell r="D300" t="str">
            <v>DL1</v>
          </cell>
          <cell r="E300">
            <v>4</v>
          </cell>
          <cell r="F300">
            <v>10</v>
          </cell>
        </row>
        <row r="301">
          <cell r="B301" t="str">
            <v>NA1671</v>
          </cell>
          <cell r="C301" t="str">
            <v>NA1670</v>
          </cell>
          <cell r="D301" t="str">
            <v>DL1</v>
          </cell>
          <cell r="E301">
            <v>7</v>
          </cell>
          <cell r="F301">
            <v>11</v>
          </cell>
        </row>
        <row r="302">
          <cell r="B302" t="str">
            <v>NA1672</v>
          </cell>
          <cell r="C302" t="str">
            <v>NA1670</v>
          </cell>
          <cell r="D302" t="str">
            <v>DL1</v>
          </cell>
          <cell r="E302">
            <v>7</v>
          </cell>
          <cell r="F302">
            <v>11</v>
          </cell>
        </row>
        <row r="303">
          <cell r="B303" t="str">
            <v>NA1270</v>
          </cell>
          <cell r="C303" t="str">
            <v>NA1270</v>
          </cell>
          <cell r="D303" t="str">
            <v>DL1</v>
          </cell>
          <cell r="E303">
            <v>0</v>
          </cell>
          <cell r="F303">
            <v>0</v>
          </cell>
        </row>
        <row r="304">
          <cell r="B304" t="str">
            <v>NA3311</v>
          </cell>
          <cell r="C304" t="str">
            <v>NA3310</v>
          </cell>
          <cell r="D304" t="str">
            <v>DL1</v>
          </cell>
          <cell r="E304">
            <v>5</v>
          </cell>
          <cell r="F304">
            <v>3</v>
          </cell>
        </row>
        <row r="305">
          <cell r="B305" t="str">
            <v>NA3312</v>
          </cell>
          <cell r="C305" t="str">
            <v>NA3310</v>
          </cell>
          <cell r="D305" t="str">
            <v>DL1</v>
          </cell>
          <cell r="E305">
            <v>5</v>
          </cell>
          <cell r="F305">
            <v>3</v>
          </cell>
        </row>
        <row r="306">
          <cell r="B306" t="str">
            <v>NA1661</v>
          </cell>
          <cell r="C306" t="str">
            <v>NA1660</v>
          </cell>
          <cell r="D306" t="str">
            <v>DL1</v>
          </cell>
          <cell r="E306">
            <v>4</v>
          </cell>
          <cell r="F306">
            <v>10</v>
          </cell>
        </row>
        <row r="307">
          <cell r="B307" t="str">
            <v>NA1822</v>
          </cell>
          <cell r="C307" t="str">
            <v>NA1820</v>
          </cell>
          <cell r="D307" t="str">
            <v>DL1</v>
          </cell>
          <cell r="E307">
            <v>0</v>
          </cell>
          <cell r="F307">
            <v>0</v>
          </cell>
        </row>
        <row r="308">
          <cell r="B308" t="str">
            <v>NA1821</v>
          </cell>
          <cell r="C308" t="str">
            <v>NA1820</v>
          </cell>
          <cell r="D308" t="str">
            <v>DL1</v>
          </cell>
          <cell r="E308">
            <v>0</v>
          </cell>
          <cell r="F308">
            <v>0</v>
          </cell>
        </row>
        <row r="309">
          <cell r="B309" t="str">
            <v>NA1802</v>
          </cell>
          <cell r="C309" t="str">
            <v>NA1800</v>
          </cell>
          <cell r="D309" t="str">
            <v>DL1</v>
          </cell>
          <cell r="E309">
            <v>0</v>
          </cell>
          <cell r="F309">
            <v>0</v>
          </cell>
        </row>
        <row r="310">
          <cell r="B310" t="str">
            <v>NA1801</v>
          </cell>
          <cell r="C310" t="str">
            <v>NA1800</v>
          </cell>
          <cell r="D310" t="str">
            <v>DL1</v>
          </cell>
          <cell r="E310">
            <v>0</v>
          </cell>
          <cell r="F310">
            <v>0</v>
          </cell>
        </row>
        <row r="311">
          <cell r="B311" t="str">
            <v>NA1630</v>
          </cell>
          <cell r="C311" t="str">
            <v>NA1630</v>
          </cell>
          <cell r="D311" t="str">
            <v>DL1</v>
          </cell>
          <cell r="E311">
            <v>4</v>
          </cell>
          <cell r="F311">
            <v>6</v>
          </cell>
        </row>
        <row r="312">
          <cell r="B312" t="str">
            <v>NA2820</v>
          </cell>
          <cell r="C312" t="str">
            <v>NA2820</v>
          </cell>
          <cell r="D312" t="str">
            <v>DL1</v>
          </cell>
          <cell r="E312">
            <v>4</v>
          </cell>
          <cell r="F312">
            <v>8</v>
          </cell>
        </row>
        <row r="313">
          <cell r="B313" t="str">
            <v>NA1560</v>
          </cell>
          <cell r="C313" t="str">
            <v>NA1560</v>
          </cell>
          <cell r="D313" t="str">
            <v>DL1</v>
          </cell>
          <cell r="E313">
            <v>7</v>
          </cell>
          <cell r="F313">
            <v>12</v>
          </cell>
        </row>
        <row r="314">
          <cell r="B314" t="str">
            <v>NA1690</v>
          </cell>
          <cell r="C314" t="str">
            <v>NA1690</v>
          </cell>
          <cell r="D314" t="str">
            <v>DL1</v>
          </cell>
          <cell r="E314">
            <v>7</v>
          </cell>
          <cell r="F314">
            <v>2</v>
          </cell>
        </row>
        <row r="315">
          <cell r="B315" t="str">
            <v>TA0640</v>
          </cell>
          <cell r="C315" t="str">
            <v>TA0640</v>
          </cell>
          <cell r="D315" t="str">
            <v>DL1</v>
          </cell>
          <cell r="E315">
            <v>0</v>
          </cell>
          <cell r="F315">
            <v>23</v>
          </cell>
        </row>
        <row r="316">
          <cell r="B316" t="str">
            <v>TA140A</v>
          </cell>
          <cell r="C316" t="str">
            <v>TA140a</v>
          </cell>
          <cell r="D316" t="str">
            <v>DL1</v>
          </cell>
          <cell r="E316">
            <v>5</v>
          </cell>
          <cell r="F316">
            <v>10</v>
          </cell>
        </row>
        <row r="317">
          <cell r="B317" t="str">
            <v>TA2500</v>
          </cell>
          <cell r="C317" t="str">
            <v>TA2500</v>
          </cell>
          <cell r="D317" t="str">
            <v>DL1</v>
          </cell>
          <cell r="E317">
            <v>0</v>
          </cell>
          <cell r="F317">
            <v>0</v>
          </cell>
        </row>
        <row r="318">
          <cell r="B318" t="str">
            <v>TA1710</v>
          </cell>
          <cell r="C318" t="str">
            <v>TA1710</v>
          </cell>
          <cell r="D318" t="str">
            <v>DL1</v>
          </cell>
          <cell r="E318">
            <v>7</v>
          </cell>
          <cell r="F318">
            <v>1</v>
          </cell>
        </row>
        <row r="319">
          <cell r="B319" t="str">
            <v>TA1520</v>
          </cell>
          <cell r="C319" t="str">
            <v>TA1520</v>
          </cell>
          <cell r="D319" t="str">
            <v>DL1</v>
          </cell>
          <cell r="E319">
            <v>4</v>
          </cell>
          <cell r="F319">
            <v>10</v>
          </cell>
        </row>
        <row r="320">
          <cell r="B320" t="str">
            <v>TA1970</v>
          </cell>
          <cell r="C320" t="str">
            <v>TA1970</v>
          </cell>
          <cell r="D320" t="str">
            <v>DL1</v>
          </cell>
          <cell r="E320">
            <v>0</v>
          </cell>
          <cell r="F320">
            <v>0</v>
          </cell>
        </row>
        <row r="321">
          <cell r="B321" t="str">
            <v>TA2510</v>
          </cell>
          <cell r="C321" t="str">
            <v>TA2510</v>
          </cell>
          <cell r="D321" t="str">
            <v>DL1</v>
          </cell>
          <cell r="E321">
            <v>0</v>
          </cell>
          <cell r="F321">
            <v>0</v>
          </cell>
        </row>
        <row r="322">
          <cell r="B322" t="str">
            <v>TA0590</v>
          </cell>
          <cell r="C322" t="str">
            <v>TA0590</v>
          </cell>
          <cell r="D322" t="str">
            <v>DL1</v>
          </cell>
          <cell r="E322">
            <v>0</v>
          </cell>
          <cell r="F322">
            <v>0</v>
          </cell>
        </row>
        <row r="323">
          <cell r="B323" t="str">
            <v>TA1860</v>
          </cell>
          <cell r="C323" t="str">
            <v>TA1860</v>
          </cell>
          <cell r="D323" t="str">
            <v>DL1</v>
          </cell>
          <cell r="E323">
            <v>0</v>
          </cell>
          <cell r="F323">
            <v>10</v>
          </cell>
        </row>
        <row r="324">
          <cell r="B324" t="str">
            <v>TA1530</v>
          </cell>
          <cell r="C324" t="str">
            <v>TA1530</v>
          </cell>
          <cell r="D324" t="str">
            <v>DL1</v>
          </cell>
          <cell r="E324">
            <v>5</v>
          </cell>
          <cell r="F324">
            <v>11</v>
          </cell>
        </row>
        <row r="325">
          <cell r="B325" t="str">
            <v>TA1830</v>
          </cell>
          <cell r="C325" t="str">
            <v>TA1830</v>
          </cell>
          <cell r="D325" t="str">
            <v>DL1</v>
          </cell>
          <cell r="E325">
            <v>0</v>
          </cell>
          <cell r="F325">
            <v>0</v>
          </cell>
        </row>
        <row r="326">
          <cell r="B326" t="str">
            <v>TA1700</v>
          </cell>
          <cell r="C326" t="str">
            <v>TA1700</v>
          </cell>
          <cell r="D326" t="str">
            <v>DL1</v>
          </cell>
          <cell r="E326">
            <v>5</v>
          </cell>
          <cell r="F326">
            <v>10</v>
          </cell>
        </row>
        <row r="327">
          <cell r="B327" t="str">
            <v>TA0580</v>
          </cell>
          <cell r="C327" t="str">
            <v>TA0580</v>
          </cell>
          <cell r="D327" t="str">
            <v>DL1</v>
          </cell>
          <cell r="E327">
            <v>0</v>
          </cell>
          <cell r="F327">
            <v>10</v>
          </cell>
        </row>
        <row r="328">
          <cell r="B328" t="str">
            <v>TA1080</v>
          </cell>
          <cell r="C328" t="str">
            <v>TA1080</v>
          </cell>
          <cell r="D328" t="str">
            <v>DL1</v>
          </cell>
          <cell r="E328">
            <v>1</v>
          </cell>
          <cell r="F328">
            <v>10</v>
          </cell>
        </row>
        <row r="329">
          <cell r="B329" t="str">
            <v>TA1120</v>
          </cell>
          <cell r="C329" t="str">
            <v>TA1120</v>
          </cell>
          <cell r="D329" t="str">
            <v>DL1</v>
          </cell>
          <cell r="E329">
            <v>0</v>
          </cell>
          <cell r="F329">
            <v>10</v>
          </cell>
        </row>
        <row r="330">
          <cell r="B330" t="str">
            <v>HN0400</v>
          </cell>
          <cell r="C330" t="str">
            <v>HN0400</v>
          </cell>
          <cell r="D330" t="str">
            <v>DL1</v>
          </cell>
          <cell r="E330">
            <v>0</v>
          </cell>
          <cell r="F330">
            <v>0</v>
          </cell>
        </row>
        <row r="331">
          <cell r="B331" t="str">
            <v>TA1160</v>
          </cell>
          <cell r="C331" t="str">
            <v>TA1160</v>
          </cell>
          <cell r="D331" t="str">
            <v>DL1</v>
          </cell>
          <cell r="E331">
            <v>0</v>
          </cell>
          <cell r="F331">
            <v>10</v>
          </cell>
        </row>
        <row r="332">
          <cell r="B332" t="str">
            <v>TA1760</v>
          </cell>
          <cell r="C332" t="str">
            <v>TA1760</v>
          </cell>
          <cell r="D332" t="str">
            <v>DL1</v>
          </cell>
          <cell r="E332">
            <v>1</v>
          </cell>
          <cell r="F332">
            <v>0</v>
          </cell>
        </row>
        <row r="333">
          <cell r="B333" t="str">
            <v>TA1230</v>
          </cell>
          <cell r="C333" t="str">
            <v>TA1230</v>
          </cell>
          <cell r="D333" t="str">
            <v>DL1</v>
          </cell>
          <cell r="E333">
            <v>7</v>
          </cell>
          <cell r="F333">
            <v>10</v>
          </cell>
        </row>
        <row r="334">
          <cell r="B334" t="str">
            <v>NA2033</v>
          </cell>
          <cell r="C334" t="str">
            <v>NA2033</v>
          </cell>
          <cell r="D334" t="str">
            <v>DL1</v>
          </cell>
          <cell r="E334">
            <v>7</v>
          </cell>
          <cell r="F334">
            <v>17</v>
          </cell>
        </row>
        <row r="335">
          <cell r="B335" t="str">
            <v>TA1840</v>
          </cell>
          <cell r="C335" t="str">
            <v>TA1840</v>
          </cell>
          <cell r="D335" t="str">
            <v>DL1</v>
          </cell>
          <cell r="E335">
            <v>0</v>
          </cell>
          <cell r="F335">
            <v>0</v>
          </cell>
        </row>
        <row r="336">
          <cell r="B336" t="str">
            <v>TA1750</v>
          </cell>
          <cell r="C336" t="str">
            <v>TA1750</v>
          </cell>
          <cell r="D336" t="str">
            <v>DL1</v>
          </cell>
          <cell r="E336">
            <v>7</v>
          </cell>
          <cell r="F336">
            <v>10</v>
          </cell>
        </row>
        <row r="337">
          <cell r="B337" t="str">
            <v>NA2661</v>
          </cell>
          <cell r="C337" t="str">
            <v>NA2660</v>
          </cell>
          <cell r="D337" t="str">
            <v>DL1</v>
          </cell>
          <cell r="E337">
            <v>4</v>
          </cell>
          <cell r="F337">
            <v>11</v>
          </cell>
        </row>
        <row r="338">
          <cell r="B338" t="str">
            <v>NA2662</v>
          </cell>
          <cell r="C338" t="str">
            <v>NA2660</v>
          </cell>
          <cell r="D338" t="str">
            <v>DL1</v>
          </cell>
          <cell r="E338">
            <v>7</v>
          </cell>
          <cell r="F338">
            <v>11</v>
          </cell>
        </row>
        <row r="339">
          <cell r="B339" t="str">
            <v>PM1080</v>
          </cell>
          <cell r="C339" t="str">
            <v>PM108A</v>
          </cell>
          <cell r="D339" t="str">
            <v>DL1</v>
          </cell>
          <cell r="E339">
            <v>7</v>
          </cell>
          <cell r="F339">
            <v>10</v>
          </cell>
        </row>
        <row r="340">
          <cell r="B340" t="str">
            <v>PM1070</v>
          </cell>
          <cell r="C340" t="str">
            <v>PM107A</v>
          </cell>
          <cell r="D340" t="str">
            <v>DL1</v>
          </cell>
          <cell r="E340">
            <v>7</v>
          </cell>
          <cell r="F340">
            <v>10</v>
          </cell>
        </row>
        <row r="341">
          <cell r="B341" t="str">
            <v>PM1060</v>
          </cell>
          <cell r="C341" t="str">
            <v>PM106A</v>
          </cell>
          <cell r="D341" t="str">
            <v>DL1</v>
          </cell>
          <cell r="E341">
            <v>7</v>
          </cell>
          <cell r="F341">
            <v>6</v>
          </cell>
        </row>
        <row r="342">
          <cell r="B342" t="str">
            <v>PM1100</v>
          </cell>
          <cell r="C342" t="str">
            <v>PM1100</v>
          </cell>
          <cell r="D342" t="str">
            <v>DL1</v>
          </cell>
          <cell r="E342">
            <v>2</v>
          </cell>
          <cell r="F342">
            <v>11</v>
          </cell>
        </row>
        <row r="343">
          <cell r="B343" t="str">
            <v>PM1330</v>
          </cell>
          <cell r="C343" t="str">
            <v>PM1330</v>
          </cell>
          <cell r="D343" t="str">
            <v>DL1</v>
          </cell>
          <cell r="E343">
            <v>2</v>
          </cell>
          <cell r="F343">
            <v>10</v>
          </cell>
        </row>
        <row r="344">
          <cell r="B344" t="str">
            <v>TA0630</v>
          </cell>
          <cell r="C344" t="str">
            <v>TA0630</v>
          </cell>
          <cell r="D344" t="str">
            <v>DL1</v>
          </cell>
          <cell r="E344">
            <v>0</v>
          </cell>
          <cell r="F344">
            <v>23</v>
          </cell>
        </row>
        <row r="345">
          <cell r="B345" t="str">
            <v>TA3020</v>
          </cell>
          <cell r="C345" t="str">
            <v>TA3020</v>
          </cell>
          <cell r="D345" t="str">
            <v>DL1</v>
          </cell>
          <cell r="E345">
            <v>2</v>
          </cell>
          <cell r="F345">
            <v>1</v>
          </cell>
        </row>
        <row r="346">
          <cell r="B346" t="str">
            <v>NA2031</v>
          </cell>
          <cell r="C346" t="str">
            <v>NA2031</v>
          </cell>
          <cell r="D346" t="str">
            <v>DL1</v>
          </cell>
          <cell r="E346">
            <v>1</v>
          </cell>
          <cell r="F346">
            <v>13</v>
          </cell>
        </row>
        <row r="347">
          <cell r="B347" t="str">
            <v>PM1350</v>
          </cell>
          <cell r="C347" t="str">
            <v>PM1350</v>
          </cell>
          <cell r="D347" t="str">
            <v>DL1</v>
          </cell>
          <cell r="E347">
            <v>1</v>
          </cell>
          <cell r="F347">
            <v>11</v>
          </cell>
        </row>
        <row r="348">
          <cell r="B348" t="str">
            <v>NA2640</v>
          </cell>
          <cell r="C348" t="str">
            <v>NA2640</v>
          </cell>
          <cell r="D348" t="str">
            <v>DL1</v>
          </cell>
          <cell r="E348">
            <v>0</v>
          </cell>
          <cell r="F348">
            <v>2</v>
          </cell>
        </row>
        <row r="349">
          <cell r="B349" t="str">
            <v>PM1360</v>
          </cell>
          <cell r="C349" t="str">
            <v>PM1360</v>
          </cell>
          <cell r="D349" t="str">
            <v>DL1</v>
          </cell>
          <cell r="E349">
            <v>7</v>
          </cell>
          <cell r="F349">
            <v>11</v>
          </cell>
        </row>
        <row r="350">
          <cell r="B350" t="str">
            <v>PM1460</v>
          </cell>
          <cell r="C350" t="str">
            <v>PM1460</v>
          </cell>
          <cell r="D350" t="str">
            <v>DL1</v>
          </cell>
          <cell r="E350">
            <v>0</v>
          </cell>
          <cell r="F350">
            <v>0</v>
          </cell>
        </row>
        <row r="351">
          <cell r="B351" t="str">
            <v>FM1450</v>
          </cell>
          <cell r="C351" t="str">
            <v>FM1450</v>
          </cell>
          <cell r="D351" t="str">
            <v>DL1</v>
          </cell>
          <cell r="E351">
            <v>0</v>
          </cell>
          <cell r="F351">
            <v>0</v>
          </cell>
        </row>
        <row r="352">
          <cell r="B352" t="str">
            <v>NA2033</v>
          </cell>
          <cell r="C352" t="str">
            <v>NA2033</v>
          </cell>
          <cell r="D352" t="str">
            <v>DL1</v>
          </cell>
          <cell r="E352">
            <v>7</v>
          </cell>
          <cell r="F352">
            <v>17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i"/>
      <sheetName val="DL"/>
      <sheetName val="CHS 2"/>
      <sheetName val="CHS 3"/>
    </sheetNames>
    <sheetDataSet>
      <sheetData sheetId="0">
        <row r="1">
          <cell r="A1" t="str">
            <v>TA1080</v>
          </cell>
          <cell r="B1" t="str">
            <v>SOP/PROD/HOSE/SPS/1/1</v>
          </cell>
        </row>
        <row r="2">
          <cell r="A2" t="str">
            <v>TA0320</v>
          </cell>
          <cell r="B2" t="str">
            <v>SOP/PROD/HOSE/SPS/1/1</v>
          </cell>
        </row>
        <row r="3">
          <cell r="A3" t="str">
            <v>TA1760</v>
          </cell>
          <cell r="B3" t="str">
            <v>SOP/PROD/HOSE/SPS/1/2</v>
          </cell>
        </row>
        <row r="4">
          <cell r="A4" t="str">
            <v>HN0270</v>
          </cell>
          <cell r="B4" t="str">
            <v>SOP/PROD/HOSE/SPS/1/3</v>
          </cell>
        </row>
        <row r="5">
          <cell r="A5" t="str">
            <v>HN0280</v>
          </cell>
          <cell r="B5" t="str">
            <v>SOP/PROD/HOSE/SPS/1/3</v>
          </cell>
        </row>
        <row r="6">
          <cell r="A6" t="str">
            <v>HN0290</v>
          </cell>
          <cell r="B6" t="str">
            <v>SOP/PROD/HOSE/SPS/1/3</v>
          </cell>
        </row>
        <row r="7">
          <cell r="A7" t="str">
            <v>HN0400</v>
          </cell>
          <cell r="B7" t="str">
            <v>SOP/PROD/HOSE/SPS/1/3</v>
          </cell>
        </row>
        <row r="8">
          <cell r="A8" t="str">
            <v>NA2033</v>
          </cell>
          <cell r="B8" t="str">
            <v>SOP/PROD/HOSE/SPS/1/4</v>
          </cell>
        </row>
        <row r="9">
          <cell r="A9" t="str">
            <v>TA1230</v>
          </cell>
          <cell r="B9" t="str">
            <v>SOP/PROD/HOSE/SPS/1/4</v>
          </cell>
        </row>
        <row r="10">
          <cell r="A10" t="str">
            <v>TA1750</v>
          </cell>
          <cell r="B10" t="str">
            <v>SOP/PROD/HOSE/SPS/1/4</v>
          </cell>
        </row>
        <row r="11">
          <cell r="A11" t="str">
            <v>NA1661</v>
          </cell>
          <cell r="B11" t="str">
            <v>SOP/PROD/HOSE/SPS/1/5</v>
          </cell>
        </row>
        <row r="12">
          <cell r="A12" t="str">
            <v>NA1662</v>
          </cell>
          <cell r="B12" t="str">
            <v>SOP/PROD/HOSE/SPS/1/5</v>
          </cell>
        </row>
        <row r="13">
          <cell r="A13" t="str">
            <v>NA1671</v>
          </cell>
          <cell r="B13" t="str">
            <v>SOP/PROD/HOSE/SPS/1/5</v>
          </cell>
        </row>
        <row r="14">
          <cell r="A14" t="str">
            <v>NA1672</v>
          </cell>
          <cell r="B14" t="str">
            <v>SOP/PROD/HOSE/SPS/1/5</v>
          </cell>
        </row>
        <row r="15">
          <cell r="A15" t="str">
            <v>NA1821</v>
          </cell>
          <cell r="B15" t="str">
            <v>SOP/PROD/HOSE/SPS/1/5</v>
          </cell>
        </row>
        <row r="16">
          <cell r="A16" t="str">
            <v>NA1822</v>
          </cell>
          <cell r="B16" t="str">
            <v>SOP/PROD/HOSE/SPS/1/5</v>
          </cell>
        </row>
        <row r="17">
          <cell r="A17" t="str">
            <v>NA1270</v>
          </cell>
          <cell r="B17" t="str">
            <v>SOP/PROD/HOSE/SPS/1/5</v>
          </cell>
        </row>
        <row r="18">
          <cell r="A18" t="str">
            <v>NA1280</v>
          </cell>
          <cell r="B18" t="str">
            <v>SOP/PROD/HOSE/SPS/1/5</v>
          </cell>
        </row>
        <row r="19">
          <cell r="A19" t="str">
            <v>NA1360</v>
          </cell>
          <cell r="B19" t="str">
            <v>SOP/PROD/HOSE/SPS/1/5</v>
          </cell>
        </row>
        <row r="20">
          <cell r="A20" t="str">
            <v>NA1370</v>
          </cell>
          <cell r="B20" t="str">
            <v>SOP/PROD/HOSE/SPS/1/5</v>
          </cell>
        </row>
        <row r="21">
          <cell r="A21" t="str">
            <v>TA1400</v>
          </cell>
          <cell r="B21" t="str">
            <v>SOP/PROD/HOSE/SPS/1/6</v>
          </cell>
        </row>
        <row r="22">
          <cell r="A22" t="str">
            <v>TA1530</v>
          </cell>
          <cell r="B22" t="str">
            <v>SOP/PROD/HOSE/SPS/1/6</v>
          </cell>
        </row>
        <row r="23">
          <cell r="A23" t="str">
            <v>TA1840</v>
          </cell>
          <cell r="B23" t="str">
            <v>SOP/PROD/HOSE/SPS/1/6</v>
          </cell>
        </row>
        <row r="24">
          <cell r="A24" t="str">
            <v>TA1710</v>
          </cell>
          <cell r="B24" t="str">
            <v>SOP/PROD/HOSE/SPS/1/7</v>
          </cell>
        </row>
        <row r="25">
          <cell r="A25" t="str">
            <v>TA1520</v>
          </cell>
          <cell r="B25" t="str">
            <v>SOP/PROD/HOSE/SPS/1/7</v>
          </cell>
        </row>
        <row r="26">
          <cell r="A26" t="str">
            <v>TA2510</v>
          </cell>
          <cell r="B26" t="str">
            <v>SOP/PROD/HOSE/SPS/1/7</v>
          </cell>
        </row>
        <row r="27">
          <cell r="A27" t="str">
            <v>TA2500</v>
          </cell>
          <cell r="B27" t="str">
            <v>SOP/PROD/HOSE/SPS/1/7</v>
          </cell>
        </row>
        <row r="28">
          <cell r="A28" t="str">
            <v>NA2820</v>
          </cell>
          <cell r="B28" t="str">
            <v>SOP/PROD/HOSE/SPS/1/8</v>
          </cell>
        </row>
        <row r="29">
          <cell r="A29" t="str">
            <v>NA1560</v>
          </cell>
          <cell r="B29" t="str">
            <v>SOP/PROD/HOSE/SPS/1/8</v>
          </cell>
        </row>
        <row r="30">
          <cell r="A30" t="str">
            <v>NA2662</v>
          </cell>
          <cell r="B30" t="str">
            <v>SOP/PROD/HOSE/SPS/1/8</v>
          </cell>
        </row>
        <row r="31">
          <cell r="A31" t="str">
            <v>NA1690</v>
          </cell>
          <cell r="B31" t="str">
            <v>SOP/PROD/HOSE/SPS/1/8</v>
          </cell>
        </row>
        <row r="32">
          <cell r="A32" t="str">
            <v>NA1630</v>
          </cell>
          <cell r="B32" t="str">
            <v>SOP/PROD/HOSE/SPS/1/8</v>
          </cell>
        </row>
        <row r="33">
          <cell r="A33" t="str">
            <v>TA0590</v>
          </cell>
          <cell r="B33" t="str">
            <v>SOP/PROD/HOSE/SPS/1/9</v>
          </cell>
        </row>
        <row r="34">
          <cell r="A34" t="str">
            <v>TA1860</v>
          </cell>
          <cell r="B34" t="str">
            <v>SOP/PROD/HOSE/SPS/1/10</v>
          </cell>
        </row>
        <row r="35">
          <cell r="A35" t="str">
            <v>TA166B</v>
          </cell>
          <cell r="B35" t="str">
            <v>SOP/PROD/HOSE/SPS/1/11</v>
          </cell>
        </row>
        <row r="36">
          <cell r="A36" t="str">
            <v>TA2990</v>
          </cell>
          <cell r="B36" t="str">
            <v>SOP/PROD/HOSE/SPS/1/11</v>
          </cell>
        </row>
        <row r="37">
          <cell r="A37" t="str">
            <v>MS0800</v>
          </cell>
          <cell r="B37" t="str">
            <v>SOP/PROD/HOSE/SPS/1/12</v>
          </cell>
        </row>
        <row r="38">
          <cell r="A38" t="str">
            <v>MS0090</v>
          </cell>
          <cell r="B38" t="str">
            <v>SOP/PROD/HOSE/SPS/1/12</v>
          </cell>
        </row>
        <row r="39">
          <cell r="A39" t="str">
            <v>MS0100</v>
          </cell>
          <cell r="B39" t="str">
            <v>SOP/PROD/HOSE/SPS/1/12</v>
          </cell>
        </row>
        <row r="40">
          <cell r="A40" t="str">
            <v>MS0110</v>
          </cell>
          <cell r="B40" t="str">
            <v>SOP/PROD/HOSE/SPS/1/12</v>
          </cell>
        </row>
        <row r="41">
          <cell r="A41" t="str">
            <v>MS0120</v>
          </cell>
          <cell r="B41" t="str">
            <v>SOP/PROD/HOSE/SPS/1/12</v>
          </cell>
        </row>
        <row r="42">
          <cell r="A42" t="str">
            <v>TA0640</v>
          </cell>
          <cell r="B42" t="str">
            <v>SOP/PROD/HOSE/SPS/1/13</v>
          </cell>
        </row>
        <row r="43">
          <cell r="A43" t="str">
            <v>TA0630</v>
          </cell>
          <cell r="B43" t="str">
            <v>SOP/PROD/HOSE/SPS/1/14</v>
          </cell>
        </row>
        <row r="44">
          <cell r="A44" t="str">
            <v>TA0580</v>
          </cell>
          <cell r="B44" t="str">
            <v>SOP/PROD/HOSE/SPS/1/15</v>
          </cell>
        </row>
        <row r="45">
          <cell r="A45" t="str">
            <v>TA1700</v>
          </cell>
          <cell r="B45" t="str">
            <v>SOP/PROD/HOSE/SPS/1/15</v>
          </cell>
        </row>
        <row r="46">
          <cell r="A46" t="str">
            <v>TA1710</v>
          </cell>
          <cell r="B46" t="str">
            <v>SOP/PROD/HOSE/SPS/1/16</v>
          </cell>
        </row>
        <row r="47">
          <cell r="A47" t="str">
            <v>TA1520</v>
          </cell>
          <cell r="B47" t="str">
            <v>SOP/PROD/HOSE/SPS/1/16</v>
          </cell>
        </row>
        <row r="48">
          <cell r="A48" t="str">
            <v>TA2510</v>
          </cell>
          <cell r="B48" t="str">
            <v>SOP/PROD/HOSE/SPS/1/16</v>
          </cell>
        </row>
        <row r="49">
          <cell r="A49" t="str">
            <v>TA2500</v>
          </cell>
          <cell r="B49" t="str">
            <v>SOP/PROD/HOSE/SPS/1/16</v>
          </cell>
        </row>
        <row r="50">
          <cell r="A50" t="str">
            <v>FM1450</v>
          </cell>
          <cell r="B50" t="str">
            <v>SOP/PROD/HOSE/SPS/1/17</v>
          </cell>
        </row>
        <row r="51">
          <cell r="A51" t="str">
            <v>FM1940</v>
          </cell>
          <cell r="B51" t="str">
            <v>SOP/PROD/HOSE/SPS/1/17</v>
          </cell>
        </row>
        <row r="52">
          <cell r="A52" t="str">
            <v>NA3311</v>
          </cell>
          <cell r="B52" t="str">
            <v>SOP/PROD/HOSE/SPS/1/18</v>
          </cell>
        </row>
        <row r="53">
          <cell r="A53" t="str">
            <v>NA3312</v>
          </cell>
          <cell r="B53" t="str">
            <v>SOP/PROD/HOSE/SPS/1/18</v>
          </cell>
        </row>
        <row r="54">
          <cell r="A54" t="str">
            <v>NA1600</v>
          </cell>
          <cell r="B54" t="str">
            <v>SOP/PROD/HOSE/SPS/1/19</v>
          </cell>
        </row>
        <row r="55">
          <cell r="A55" t="str">
            <v>NA1680</v>
          </cell>
          <cell r="B55" t="str">
            <v>SOP/PROD/HOSE/SPS/1/19</v>
          </cell>
        </row>
        <row r="56">
          <cell r="A56" t="str">
            <v>NA2780</v>
          </cell>
          <cell r="B56" t="str">
            <v>SOP/PROD/HOSE/SPS/1/19</v>
          </cell>
        </row>
        <row r="57">
          <cell r="A57" t="str">
            <v>NA1410</v>
          </cell>
          <cell r="B57" t="str">
            <v>SOP/PROD/HOSE/SPS/1/19</v>
          </cell>
        </row>
        <row r="58">
          <cell r="A58" t="str">
            <v>PM1460</v>
          </cell>
          <cell r="B58" t="str">
            <v>SOP/PROD/HOSE/SPS/1/20</v>
          </cell>
        </row>
        <row r="59">
          <cell r="A59" t="str">
            <v>NA3220</v>
          </cell>
          <cell r="B59" t="str">
            <v>SOP/PROD/HOSE/SPS/1/21</v>
          </cell>
        </row>
        <row r="60">
          <cell r="A60" t="str">
            <v>NA3230</v>
          </cell>
          <cell r="B60" t="str">
            <v>SOP/PROD/HOSE/SPS/1/21</v>
          </cell>
        </row>
        <row r="61">
          <cell r="A61" t="str">
            <v>NA3240</v>
          </cell>
          <cell r="B61" t="str">
            <v>SOP/PROD/HOSE/SPS/1/21</v>
          </cell>
        </row>
        <row r="62">
          <cell r="A62" t="str">
            <v>NA3250</v>
          </cell>
          <cell r="B62" t="str">
            <v>SOP/PROD/HOSE/SPS/1/21</v>
          </cell>
        </row>
        <row r="63">
          <cell r="A63" t="str">
            <v>NA3260</v>
          </cell>
          <cell r="B63" t="str">
            <v>SOP/PROD/HOSE/SPS/1/21</v>
          </cell>
        </row>
        <row r="64">
          <cell r="A64" t="str">
            <v>TA1440</v>
          </cell>
          <cell r="B64" t="str">
            <v>SOP/PROD/HOSE/SPS/2/1</v>
          </cell>
        </row>
        <row r="65">
          <cell r="A65" t="str">
            <v>TA1470</v>
          </cell>
          <cell r="B65" t="str">
            <v>SOP/PROD/HOSE/SPS/2/1</v>
          </cell>
        </row>
        <row r="66">
          <cell r="A66" t="str">
            <v>TA1430</v>
          </cell>
          <cell r="B66" t="str">
            <v>SOP/PROD/HOSE/SPS/2/1</v>
          </cell>
        </row>
        <row r="67">
          <cell r="A67" t="str">
            <v>TA1460</v>
          </cell>
          <cell r="B67" t="str">
            <v>SOP/PROD/HOSE/SPS/2/1</v>
          </cell>
        </row>
        <row r="68">
          <cell r="A68" t="str">
            <v>TA1340</v>
          </cell>
          <cell r="B68" t="str">
            <v>SOP/PROD/HOSE/SPS/2/2</v>
          </cell>
        </row>
        <row r="69">
          <cell r="A69" t="str">
            <v>TA1350</v>
          </cell>
          <cell r="B69" t="str">
            <v>SOP/PROD/HOSE/SPS/2/2</v>
          </cell>
        </row>
        <row r="70">
          <cell r="A70" t="str">
            <v>TA1420</v>
          </cell>
          <cell r="B70" t="str">
            <v>SOP/PROD/HOSE/SPS/2/2</v>
          </cell>
        </row>
        <row r="71">
          <cell r="A71" t="str">
            <v>TA1450</v>
          </cell>
          <cell r="B71" t="str">
            <v>SOP/PROD/HOSE/SPS/2/2</v>
          </cell>
        </row>
        <row r="72">
          <cell r="A72" t="str">
            <v>TA2633</v>
          </cell>
          <cell r="B72" t="str">
            <v>SOP/PROD/HOSE/SPS/2/2</v>
          </cell>
        </row>
        <row r="73">
          <cell r="A73" t="str">
            <v>TA2634</v>
          </cell>
          <cell r="B73" t="str">
            <v>SOP/PROD/HOSE/SPS/2/2</v>
          </cell>
        </row>
        <row r="74">
          <cell r="A74" t="str">
            <v>TA2640</v>
          </cell>
          <cell r="B74" t="str">
            <v>SOP/PROD/HOSE/SPS/2/2</v>
          </cell>
        </row>
        <row r="75">
          <cell r="A75" t="str">
            <v>TA2650</v>
          </cell>
          <cell r="B75" t="str">
            <v>SOP/PROD/HOSE/SPS/2/2</v>
          </cell>
        </row>
        <row r="76">
          <cell r="A76" t="str">
            <v>TA2660</v>
          </cell>
          <cell r="B76" t="str">
            <v>SOP/PROD/HOSE/SPS/2/2</v>
          </cell>
        </row>
        <row r="77">
          <cell r="A77" t="str">
            <v>NA1440</v>
          </cell>
          <cell r="B77" t="str">
            <v>SOP/PROD/HOSE/SPS/2/3</v>
          </cell>
        </row>
        <row r="78">
          <cell r="A78" t="str">
            <v>NA1430</v>
          </cell>
          <cell r="B78" t="str">
            <v>SOP/PROD/HOSE/SPS/2/3</v>
          </cell>
        </row>
        <row r="79">
          <cell r="A79" t="str">
            <v>TA1780</v>
          </cell>
          <cell r="B79" t="str">
            <v>SOP/PROD/HOSE/SPS/2/4</v>
          </cell>
        </row>
        <row r="80">
          <cell r="A80" t="str">
            <v>TA2120</v>
          </cell>
          <cell r="B80" t="str">
            <v>SOP/PROD/HOSE/SPS/2/4</v>
          </cell>
        </row>
        <row r="81">
          <cell r="A81" t="str">
            <v>NA1420</v>
          </cell>
          <cell r="B81" t="str">
            <v>SOP/PROD/HOSE/SPS/2/5</v>
          </cell>
        </row>
        <row r="82">
          <cell r="A82" t="str">
            <v>NA1480</v>
          </cell>
          <cell r="B82" t="str">
            <v>SOP/PROD/HOSE/SPS/2/5</v>
          </cell>
        </row>
        <row r="83">
          <cell r="A83" t="str">
            <v>TA1670</v>
          </cell>
          <cell r="B83" t="str">
            <v>SOP/PROD/HOSE/SPS/2/6</v>
          </cell>
        </row>
        <row r="84">
          <cell r="A84" t="str">
            <v>NA1830</v>
          </cell>
          <cell r="B84" t="str">
            <v>SOP/PROD/HOSE/SPS/2/7</v>
          </cell>
        </row>
        <row r="85">
          <cell r="A85" t="str">
            <v>NA2180</v>
          </cell>
          <cell r="B85" t="str">
            <v>SOP/PROD/HOSE/SPS/2/7</v>
          </cell>
        </row>
        <row r="86">
          <cell r="A86" t="str">
            <v>NA2630</v>
          </cell>
          <cell r="B86" t="str">
            <v>SOP/PROD/HOSE/SPS/2/7</v>
          </cell>
        </row>
        <row r="87">
          <cell r="A87" t="str">
            <v>NA2680</v>
          </cell>
          <cell r="B87" t="str">
            <v>SOP/PROD/HOSE/SPS/2/7</v>
          </cell>
        </row>
        <row r="88">
          <cell r="A88" t="str">
            <v>NA2740</v>
          </cell>
          <cell r="B88" t="str">
            <v>SOP/PROD/HOSE/SPS/2/7</v>
          </cell>
        </row>
        <row r="89">
          <cell r="A89" t="str">
            <v>NA2750</v>
          </cell>
          <cell r="B89" t="str">
            <v>SOP/PROD/HOSE/SPS/2/7</v>
          </cell>
        </row>
        <row r="90">
          <cell r="A90" t="str">
            <v>NA3000</v>
          </cell>
          <cell r="B90" t="str">
            <v>SOP/PROD/HOSE/SPS/2/7</v>
          </cell>
        </row>
        <row r="91">
          <cell r="A91" t="str">
            <v>NA3030</v>
          </cell>
          <cell r="B91" t="str">
            <v>SOP/PROD/HOSE/SPS/2/7</v>
          </cell>
        </row>
        <row r="92">
          <cell r="A92" t="str">
            <v>NA3040</v>
          </cell>
          <cell r="B92" t="str">
            <v>SOP/PROD/HOSE/SPS/2/7</v>
          </cell>
        </row>
        <row r="93">
          <cell r="A93" t="str">
            <v>TA1830</v>
          </cell>
          <cell r="B93" t="str">
            <v>SOP/PROD/HOSE/SPS/2/7</v>
          </cell>
        </row>
        <row r="94">
          <cell r="A94" t="str">
            <v>TA1773</v>
          </cell>
          <cell r="B94" t="str">
            <v>SOP/PROD/HOSE/SPS/2/8</v>
          </cell>
        </row>
        <row r="95">
          <cell r="A95" t="str">
            <v>TA1774</v>
          </cell>
          <cell r="B95" t="str">
            <v>SOP/PROD/HOSE/SPS/2/8</v>
          </cell>
        </row>
        <row r="96">
          <cell r="A96" t="str">
            <v>TA1890</v>
          </cell>
          <cell r="B96" t="str">
            <v>SOP/PROD/HOSE/SPS/2/8</v>
          </cell>
        </row>
        <row r="97">
          <cell r="A97" t="str">
            <v>TA2631</v>
          </cell>
          <cell r="B97" t="str">
            <v>SOP/PROD/HOSE/SPS/2/8</v>
          </cell>
        </row>
        <row r="98">
          <cell r="A98" t="str">
            <v>TA2632</v>
          </cell>
          <cell r="B98" t="str">
            <v>SOP/PROD/HOSE/SPS/2/8</v>
          </cell>
        </row>
        <row r="99">
          <cell r="A99" t="str">
            <v>TA2670</v>
          </cell>
          <cell r="B99" t="str">
            <v>SOP/PROD/HOSE/SPS/2/8</v>
          </cell>
        </row>
        <row r="100">
          <cell r="A100" t="str">
            <v>TA2680</v>
          </cell>
          <cell r="B100" t="str">
            <v>SOP/PROD/HOSE/SPS/2/8</v>
          </cell>
        </row>
        <row r="101">
          <cell r="A101" t="str">
            <v>TA2690</v>
          </cell>
          <cell r="B101" t="str">
            <v>SOP/PROD/HOSE/SPS/2/8</v>
          </cell>
        </row>
        <row r="102">
          <cell r="A102" t="str">
            <v>TA2700</v>
          </cell>
          <cell r="B102" t="str">
            <v>SOP/PROD/HOSE/SPS/2/8</v>
          </cell>
        </row>
        <row r="103">
          <cell r="A103" t="str">
            <v>TA2711</v>
          </cell>
          <cell r="B103" t="str">
            <v>SOP/PROD/HOSE/SPS/2/8</v>
          </cell>
        </row>
        <row r="104">
          <cell r="A104" t="str">
            <v>TA2712</v>
          </cell>
          <cell r="B104" t="str">
            <v>SOP/PROD/HOSE/SPS/2/8</v>
          </cell>
        </row>
        <row r="105">
          <cell r="A105" t="str">
            <v>NA1460</v>
          </cell>
          <cell r="B105" t="str">
            <v>SOP/PROD/HOSE/SPS/2/9</v>
          </cell>
        </row>
        <row r="106">
          <cell r="A106" t="str">
            <v>NA1470</v>
          </cell>
          <cell r="B106" t="str">
            <v>SOP/PROD/HOSE/SPS/2/9</v>
          </cell>
        </row>
        <row r="107">
          <cell r="A107" t="str">
            <v>NA1870</v>
          </cell>
          <cell r="B107" t="str">
            <v>SOP/PROD/HOSE/SPS/2/9</v>
          </cell>
        </row>
        <row r="108">
          <cell r="A108" t="str">
            <v>NA1880</v>
          </cell>
          <cell r="B108" t="str">
            <v>SOP/PROD/HOSE/SPS/2/9</v>
          </cell>
        </row>
        <row r="109">
          <cell r="A109" t="str">
            <v>NA1900</v>
          </cell>
          <cell r="B109" t="str">
            <v>SOP/PROD/HOSE/SPS/2/9</v>
          </cell>
        </row>
        <row r="110">
          <cell r="A110" t="str">
            <v>NA1910</v>
          </cell>
          <cell r="B110" t="str">
            <v>SOP/PROD/HOSE/SPS/2/9</v>
          </cell>
        </row>
        <row r="111">
          <cell r="A111" t="str">
            <v>NA1890</v>
          </cell>
          <cell r="B111" t="str">
            <v>SOP/PROD/HOSE/SPS/2/9</v>
          </cell>
        </row>
        <row r="112">
          <cell r="A112" t="str">
            <v>NA1920</v>
          </cell>
          <cell r="B112" t="str">
            <v>SOP/PROD/HOSE/SPS/2/9</v>
          </cell>
        </row>
        <row r="113">
          <cell r="A113" t="str">
            <v>NA2090</v>
          </cell>
          <cell r="B113" t="str">
            <v>SOP/PROD/HOSE/SPS/2/9</v>
          </cell>
        </row>
        <row r="114">
          <cell r="A114" t="str">
            <v>NA2100</v>
          </cell>
          <cell r="B114" t="str">
            <v>SOP/PROD/HOSE/SPS/2/9</v>
          </cell>
        </row>
        <row r="115">
          <cell r="A115" t="str">
            <v>NA2150</v>
          </cell>
          <cell r="B115" t="str">
            <v>SOP/PROD/HOSE/SPS/2/9</v>
          </cell>
        </row>
        <row r="116">
          <cell r="A116" t="str">
            <v>NA2190</v>
          </cell>
          <cell r="B116" t="str">
            <v>SOP/PROD/HOSE/SPS/2/9</v>
          </cell>
        </row>
        <row r="117">
          <cell r="A117" t="str">
            <v>NA2200</v>
          </cell>
          <cell r="B117" t="str">
            <v>SOP/PROD/HOSE/SPS/2/9</v>
          </cell>
        </row>
        <row r="118">
          <cell r="A118" t="str">
            <v>NA2210</v>
          </cell>
          <cell r="B118" t="str">
            <v>SOP/PROD/HOSE/SPS/2/9</v>
          </cell>
        </row>
        <row r="119">
          <cell r="A119" t="str">
            <v>NA2230</v>
          </cell>
          <cell r="B119" t="str">
            <v>SOP/PROD/HOSE/SPS/2/9</v>
          </cell>
        </row>
        <row r="120">
          <cell r="A120" t="str">
            <v>NA2240</v>
          </cell>
          <cell r="B120" t="str">
            <v>SOP/PROD/HOSE/SPS/2/9</v>
          </cell>
        </row>
        <row r="121">
          <cell r="A121" t="str">
            <v>NA2250</v>
          </cell>
          <cell r="B121" t="str">
            <v>SOP/PROD/HOSE/SPS/2/9</v>
          </cell>
        </row>
        <row r="122">
          <cell r="A122" t="str">
            <v>NA2320</v>
          </cell>
          <cell r="B122" t="str">
            <v>SOP/PROD/HOSE/SPS/2/9</v>
          </cell>
        </row>
        <row r="123">
          <cell r="A123" t="str">
            <v>NA2330</v>
          </cell>
          <cell r="B123" t="str">
            <v>SOP/PROD/HOSE/SPS/2/9</v>
          </cell>
        </row>
        <row r="124">
          <cell r="A124" t="str">
            <v>NA2400</v>
          </cell>
          <cell r="B124" t="str">
            <v>SOP/PROD/HOSE/SPS/2/9</v>
          </cell>
        </row>
        <row r="125">
          <cell r="A125" t="str">
            <v>NA2410</v>
          </cell>
          <cell r="B125" t="str">
            <v>SOP/PROD/HOSE/SPS/2/9</v>
          </cell>
        </row>
        <row r="126">
          <cell r="A126" t="str">
            <v>TA2770</v>
          </cell>
          <cell r="B126" t="str">
            <v>SOP/PROD/HOSE/SPS/2/9</v>
          </cell>
        </row>
        <row r="127">
          <cell r="A127" t="str">
            <v>NA2800</v>
          </cell>
          <cell r="B127" t="str">
            <v>SOP/PROD/HOSE/SPS/2/9</v>
          </cell>
        </row>
        <row r="128">
          <cell r="A128" t="str">
            <v>NA2830</v>
          </cell>
          <cell r="B128" t="str">
            <v>SOP/PROD/HOSE/SPS/2/9</v>
          </cell>
        </row>
        <row r="129">
          <cell r="A129" t="str">
            <v>NA2920</v>
          </cell>
          <cell r="B129" t="str">
            <v>SOP/PROD/HOSE/SPS/2/9</v>
          </cell>
        </row>
        <row r="130">
          <cell r="A130" t="str">
            <v>NA2930</v>
          </cell>
          <cell r="B130" t="str">
            <v>SOP/PROD/HOSE/SPS/2/9</v>
          </cell>
        </row>
        <row r="131">
          <cell r="A131" t="str">
            <v>NA2950</v>
          </cell>
          <cell r="B131" t="str">
            <v>SOP/PROD/HOSE/SPS/2/9</v>
          </cell>
        </row>
        <row r="132">
          <cell r="A132" t="str">
            <v>NA2960</v>
          </cell>
          <cell r="B132" t="str">
            <v>SOP/PROD/HOSE/SPS/2/9</v>
          </cell>
        </row>
        <row r="133">
          <cell r="A133" t="str">
            <v>NA2970</v>
          </cell>
          <cell r="B133" t="str">
            <v>SOP/PROD/HOSE/SPS/2/9</v>
          </cell>
        </row>
        <row r="134">
          <cell r="A134" t="str">
            <v>NA3070</v>
          </cell>
          <cell r="B134" t="str">
            <v>SOP/PROD/HOSE/SPS/2/9</v>
          </cell>
        </row>
        <row r="135">
          <cell r="A135" t="str">
            <v>NA3090</v>
          </cell>
          <cell r="B135" t="str">
            <v>SOP/PROD/HOSE/SPS/2/9</v>
          </cell>
        </row>
        <row r="136">
          <cell r="A136" t="str">
            <v>NA3120</v>
          </cell>
          <cell r="B136" t="str">
            <v>SOP/PROD/HOSE/SPS/2/9</v>
          </cell>
        </row>
        <row r="137">
          <cell r="A137" t="str">
            <v>NA3150</v>
          </cell>
          <cell r="B137" t="str">
            <v>SOP/PROD/HOSE/SPS/2/9</v>
          </cell>
        </row>
        <row r="138">
          <cell r="A138" t="str">
            <v>NA3280</v>
          </cell>
          <cell r="B138" t="str">
            <v>SOP/PROD/HOSE/SPS/2/9</v>
          </cell>
        </row>
        <row r="139">
          <cell r="A139" t="str">
            <v>NA3291</v>
          </cell>
          <cell r="B139" t="str">
            <v>SOP/PROD/HOSE/SPS/2/9</v>
          </cell>
        </row>
        <row r="140">
          <cell r="A140" t="str">
            <v>NA3292</v>
          </cell>
          <cell r="B140" t="str">
            <v>SOP/PROD/HOSE/SPS/2/9</v>
          </cell>
        </row>
        <row r="141">
          <cell r="A141" t="str">
            <v>NA3300</v>
          </cell>
          <cell r="B141" t="str">
            <v>SOP/PROD/HOSE/SPS/2/9</v>
          </cell>
        </row>
        <row r="142">
          <cell r="A142" t="str">
            <v>NA3301</v>
          </cell>
          <cell r="B142" t="str">
            <v>SOP/PROD/HOSE/SPS/2/9</v>
          </cell>
        </row>
        <row r="143">
          <cell r="A143" t="str">
            <v>NA3320</v>
          </cell>
          <cell r="B143" t="str">
            <v>SOP/PROD/HOSE/SPS/2/9</v>
          </cell>
        </row>
        <row r="144">
          <cell r="A144" t="str">
            <v>NA3370</v>
          </cell>
          <cell r="B144" t="str">
            <v>SOP/PROD/HOSE/SPS/2/9</v>
          </cell>
        </row>
        <row r="145">
          <cell r="A145" t="str">
            <v>TA1040</v>
          </cell>
          <cell r="B145" t="str">
            <v>SOP/PROD/HOSE/SPS/2/9</v>
          </cell>
        </row>
        <row r="146">
          <cell r="A146" t="str">
            <v>TA1050</v>
          </cell>
          <cell r="B146" t="str">
            <v>SOP/PROD/HOSE/SPS/2/9</v>
          </cell>
        </row>
        <row r="147">
          <cell r="A147" t="str">
            <v>TA2750</v>
          </cell>
          <cell r="B147" t="str">
            <v>SOP/PROD/HOSE/SPS/2/9</v>
          </cell>
        </row>
        <row r="148">
          <cell r="A148" t="str">
            <v>TA2770</v>
          </cell>
          <cell r="B148" t="str">
            <v>SOP/PROD/HOSE/SPS/2/9</v>
          </cell>
        </row>
        <row r="149">
          <cell r="A149" t="str">
            <v>TA2830</v>
          </cell>
          <cell r="B149" t="str">
            <v>SOP/PROD/HOSE/SPS/2/9</v>
          </cell>
        </row>
        <row r="150">
          <cell r="A150" t="str">
            <v>TA2840</v>
          </cell>
          <cell r="B150" t="str">
            <v>SOP/PROD/HOSE/SPS/2/9</v>
          </cell>
        </row>
        <row r="151">
          <cell r="A151" t="str">
            <v>TA2850</v>
          </cell>
          <cell r="B151" t="str">
            <v>SOP/PROD/HOSE/SPS/2/9</v>
          </cell>
        </row>
        <row r="152">
          <cell r="A152" t="str">
            <v>TA2860</v>
          </cell>
          <cell r="B152" t="str">
            <v>SOP/PROD/HOSE/SPS/2/9</v>
          </cell>
        </row>
        <row r="153">
          <cell r="A153" t="str">
            <v>TA2870</v>
          </cell>
          <cell r="B153" t="str">
            <v>SOP/PROD/HOSE/SPS/2/9</v>
          </cell>
        </row>
        <row r="154">
          <cell r="A154" t="str">
            <v>TA2880</v>
          </cell>
          <cell r="B154" t="str">
            <v>SOP/PROD/HOSE/SPS/2/9</v>
          </cell>
        </row>
        <row r="155">
          <cell r="A155" t="str">
            <v>TA1771</v>
          </cell>
          <cell r="B155" t="str">
            <v>SOP/PROD/HOSE/SPS/2/10</v>
          </cell>
        </row>
        <row r="156">
          <cell r="A156" t="str">
            <v>TA1772</v>
          </cell>
          <cell r="B156" t="str">
            <v>SOP/PROD/HOSE/SPS/2/10</v>
          </cell>
        </row>
        <row r="157">
          <cell r="A157" t="str">
            <v>TA1330</v>
          </cell>
          <cell r="B157" t="str">
            <v>SOP/PROD/HOSE/SPS/2/11</v>
          </cell>
        </row>
        <row r="158">
          <cell r="A158" t="str">
            <v>TA1680</v>
          </cell>
          <cell r="B158" t="str">
            <v>SOP/PROD/HOSE/SPS/2/12</v>
          </cell>
        </row>
        <row r="159">
          <cell r="A159" t="str">
            <v>TA1690</v>
          </cell>
          <cell r="B159" t="str">
            <v>SOP/PROD/HOSE/SPS/2/12</v>
          </cell>
        </row>
        <row r="160">
          <cell r="A160" t="str">
            <v>NA3340</v>
          </cell>
          <cell r="B160" t="str">
            <v>SOP/PROD/HOSE/SPS/2/13</v>
          </cell>
        </row>
        <row r="161">
          <cell r="A161" t="str">
            <v>NA1450</v>
          </cell>
          <cell r="B161" t="str">
            <v>SOP/PROD/HOSE/SPS/2/14</v>
          </cell>
        </row>
        <row r="162">
          <cell r="A162" t="str">
            <v>NA1860</v>
          </cell>
          <cell r="B162" t="str">
            <v>SOP/PROD/HOSE/SPS/2/14</v>
          </cell>
        </row>
        <row r="163">
          <cell r="A163" t="str">
            <v>TA1790</v>
          </cell>
          <cell r="B163" t="str">
            <v>SOP/PROD/HOSE/SPS/2/14</v>
          </cell>
        </row>
        <row r="164">
          <cell r="A164" t="str">
            <v>TA300</v>
          </cell>
          <cell r="B164" t="str">
            <v>SOP/PROD/HOSE/SPS/2/14</v>
          </cell>
        </row>
        <row r="165">
          <cell r="A165" t="str">
            <v>TA3100</v>
          </cell>
          <cell r="B165" t="str">
            <v>SOP/PROD/HOSE/SPS/2/14</v>
          </cell>
        </row>
        <row r="166">
          <cell r="A166" t="str">
            <v>TA3050</v>
          </cell>
          <cell r="B166" t="str">
            <v>SOP/PROD/HOSE/SPS/2/14</v>
          </cell>
        </row>
        <row r="167">
          <cell r="A167" t="str">
            <v>TA3060</v>
          </cell>
          <cell r="B167" t="str">
            <v>SOP/PROD/HOSE/SPS/2/14</v>
          </cell>
        </row>
        <row r="168">
          <cell r="A168" t="str">
            <v>NA3080</v>
          </cell>
          <cell r="B168" t="str">
            <v>SOP/PROD/HOSE/SPS/2/15</v>
          </cell>
        </row>
        <row r="169">
          <cell r="A169" t="str">
            <v>NA3110</v>
          </cell>
          <cell r="B169" t="str">
            <v>SOP/PROD/HOSE/SPS/2/15</v>
          </cell>
        </row>
        <row r="170">
          <cell r="A170" t="str">
            <v>TA3060</v>
          </cell>
          <cell r="B170" t="str">
            <v>SOP/PROD/HOSE/SPS/2/16</v>
          </cell>
        </row>
        <row r="171">
          <cell r="A171" t="str">
            <v>NA1840</v>
          </cell>
          <cell r="B171" t="str">
            <v>SOP/PROD/HOSE/SPS/2/17</v>
          </cell>
        </row>
        <row r="172">
          <cell r="A172" t="str">
            <v>NA2720</v>
          </cell>
          <cell r="B172" t="str">
            <v>SOP/PROD/HOSE/SPS/2/17</v>
          </cell>
        </row>
        <row r="173">
          <cell r="A173" t="str">
            <v>NA3330</v>
          </cell>
          <cell r="B173" t="str">
            <v>SOP/PROD/HOSE/SPS/2/17</v>
          </cell>
        </row>
        <row r="174">
          <cell r="A174" t="str">
            <v>NA1850</v>
          </cell>
          <cell r="B174" t="str">
            <v>SOP/PROD/HOSE/SPS/2/18</v>
          </cell>
        </row>
        <row r="175">
          <cell r="A175" t="str">
            <v>PM1270</v>
          </cell>
          <cell r="B175" t="str">
            <v>SOP/PROD/HOSE/SPS/2/19</v>
          </cell>
        </row>
        <row r="176">
          <cell r="A176" t="str">
            <v>PM1230</v>
          </cell>
          <cell r="B176" t="str">
            <v>SOP/PROD/HOSE/SPS/2/19</v>
          </cell>
        </row>
        <row r="177">
          <cell r="A177" t="str">
            <v>PM1280</v>
          </cell>
          <cell r="B177" t="str">
            <v>SOP/PROD/HOSE/SPS/2/19</v>
          </cell>
        </row>
        <row r="178">
          <cell r="A178" t="str">
            <v>TA1490</v>
          </cell>
          <cell r="B178" t="str">
            <v>SOP/PROD/HOSE/SPS/3/1</v>
          </cell>
        </row>
        <row r="179">
          <cell r="A179" t="str">
            <v>NA2031</v>
          </cell>
          <cell r="B179" t="str">
            <v>SOP/PROD/HOSE/SPS/3/1</v>
          </cell>
        </row>
        <row r="180">
          <cell r="A180" t="str">
            <v>NA2700</v>
          </cell>
          <cell r="B180" t="str">
            <v>SOP/PROD/HOSE/SPS/3/2</v>
          </cell>
        </row>
        <row r="181">
          <cell r="A181" t="str">
            <v>NA2810</v>
          </cell>
          <cell r="B181" t="str">
            <v>SOP/PROD/HOSE/SPS/3/2</v>
          </cell>
        </row>
        <row r="182">
          <cell r="A182" t="str">
            <v>NA2990</v>
          </cell>
          <cell r="B182" t="str">
            <v>SOP/PROD/HOSE/SPS/3/2</v>
          </cell>
        </row>
        <row r="183">
          <cell r="A183" t="str">
            <v>TA0804</v>
          </cell>
          <cell r="B183" t="str">
            <v>SOP/PROD/HOSE/SPS/3/2</v>
          </cell>
        </row>
        <row r="184">
          <cell r="A184" t="str">
            <v>TA0811</v>
          </cell>
          <cell r="B184" t="str">
            <v>SOP/PROD/HOSE/SPS/3/2</v>
          </cell>
        </row>
        <row r="185">
          <cell r="A185" t="str">
            <v>TA121A</v>
          </cell>
          <cell r="B185" t="str">
            <v>SOP/PROD/HOSE/SPS/3/2</v>
          </cell>
        </row>
        <row r="186">
          <cell r="A186" t="str">
            <v>TA136A</v>
          </cell>
          <cell r="B186" t="str">
            <v>SOP/PROD/HOSE/SPS/3/2</v>
          </cell>
        </row>
        <row r="187">
          <cell r="A187" t="str">
            <v>TA148A</v>
          </cell>
          <cell r="B187" t="str">
            <v>SOP/PROD/HOSE/SPS/3/2</v>
          </cell>
        </row>
        <row r="188">
          <cell r="A188" t="str">
            <v>TA1551</v>
          </cell>
          <cell r="B188" t="str">
            <v>SOP/PROD/HOSE/SPS/3/2</v>
          </cell>
        </row>
        <row r="189">
          <cell r="A189" t="str">
            <v>TA1561</v>
          </cell>
          <cell r="B189" t="str">
            <v>SOP/PROD/HOSE/SPS/3/2</v>
          </cell>
        </row>
        <row r="190">
          <cell r="A190" t="str">
            <v>TA1800</v>
          </cell>
          <cell r="B190" t="str">
            <v>SOP/PROD/HOSE/SPS/3/2</v>
          </cell>
        </row>
        <row r="191">
          <cell r="A191" t="str">
            <v>TA1810</v>
          </cell>
          <cell r="B191" t="str">
            <v>SOP/PROD/HOSE/SPS/3/2</v>
          </cell>
        </row>
        <row r="192">
          <cell r="A192" t="str">
            <v>TA1980</v>
          </cell>
          <cell r="B192" t="str">
            <v>SOP/PROD/HOSE/SPS/3/2</v>
          </cell>
        </row>
        <row r="193">
          <cell r="A193" t="str">
            <v>TA198A</v>
          </cell>
          <cell r="B193" t="str">
            <v>SOP/PROD/HOSE/SPS/3/2</v>
          </cell>
        </row>
        <row r="194">
          <cell r="A194" t="str">
            <v>TA199A</v>
          </cell>
          <cell r="B194" t="str">
            <v>SOP/PROD/HOSE/SPS/3/2</v>
          </cell>
        </row>
        <row r="195">
          <cell r="A195" t="str">
            <v>TA2005</v>
          </cell>
          <cell r="B195" t="str">
            <v>SOP/PROD/HOSE/SPS/3/2</v>
          </cell>
        </row>
        <row r="196">
          <cell r="A196" t="str">
            <v>TA2950</v>
          </cell>
          <cell r="B196" t="str">
            <v>SOP/PROD/HOSE/SPS/3/2</v>
          </cell>
        </row>
        <row r="197">
          <cell r="A197" t="str">
            <v>TA1371</v>
          </cell>
          <cell r="B197" t="str">
            <v>SOP/PROD/HOSE/SPS/3/3</v>
          </cell>
        </row>
        <row r="198">
          <cell r="A198" t="str">
            <v>TA1372</v>
          </cell>
          <cell r="B198" t="str">
            <v>SOP/PROD/HOSE/SPS/3/3</v>
          </cell>
        </row>
        <row r="199">
          <cell r="A199" t="str">
            <v>TA1731</v>
          </cell>
          <cell r="B199" t="str">
            <v>SOP/PROD/HOSE/SPS/3/3</v>
          </cell>
        </row>
        <row r="200">
          <cell r="A200" t="str">
            <v>TA1742</v>
          </cell>
          <cell r="B200" t="str">
            <v>SOP/PROD/HOSE/SPS/3/3</v>
          </cell>
        </row>
        <row r="201">
          <cell r="A201" t="str">
            <v>TA1941</v>
          </cell>
          <cell r="B201" t="str">
            <v>SOP/PROD/HOSE/SPS/3/3</v>
          </cell>
        </row>
        <row r="202">
          <cell r="A202" t="str">
            <v>TA1942</v>
          </cell>
          <cell r="B202" t="str">
            <v>SOP/PROD/HOSE/SPS/3/3</v>
          </cell>
        </row>
        <row r="203">
          <cell r="A203" t="str">
            <v>TA1950</v>
          </cell>
          <cell r="B203" t="str">
            <v>SOP/PROD/HOSE/SPS/3/3</v>
          </cell>
        </row>
        <row r="204">
          <cell r="A204" t="str">
            <v>TA2521</v>
          </cell>
          <cell r="B204" t="str">
            <v>SOP/PROD/HOSE/SPS/3/3</v>
          </cell>
        </row>
        <row r="205">
          <cell r="A205" t="str">
            <v>TA2522</v>
          </cell>
          <cell r="B205" t="str">
            <v>SOP/PROD/HOSE/SPS/3/3</v>
          </cell>
        </row>
        <row r="206">
          <cell r="A206" t="str">
            <v>TA2532</v>
          </cell>
          <cell r="B206" t="str">
            <v>SOP/PROD/HOSE/SPS/3/3</v>
          </cell>
        </row>
        <row r="207">
          <cell r="A207" t="str">
            <v>TA2541</v>
          </cell>
          <cell r="B207" t="str">
            <v>SOP/PROD/HOSE/SPS/3/3</v>
          </cell>
        </row>
        <row r="208">
          <cell r="A208" t="str">
            <v>TA2542</v>
          </cell>
          <cell r="B208" t="str">
            <v>SOP/PROD/HOSE/SPS/3/3</v>
          </cell>
        </row>
        <row r="209">
          <cell r="A209" t="str">
            <v>TA2551</v>
          </cell>
          <cell r="B209" t="str">
            <v>SOP/PROD/HOSE/SPS/3/3</v>
          </cell>
        </row>
        <row r="210">
          <cell r="A210" t="str">
            <v>TA2552</v>
          </cell>
          <cell r="B210" t="str">
            <v>SOP/PROD/HOSE/SPS/3/3</v>
          </cell>
        </row>
        <row r="211">
          <cell r="A211" t="str">
            <v>TA1380</v>
          </cell>
          <cell r="B211" t="str">
            <v>SOP/PROD/HOSE/SPS/3/4</v>
          </cell>
        </row>
        <row r="212">
          <cell r="A212" t="str">
            <v>HN0140</v>
          </cell>
          <cell r="B212" t="str">
            <v>SOP/PROD/HOSE/SPS/3/5</v>
          </cell>
        </row>
        <row r="213">
          <cell r="A213" t="str">
            <v>HN0220</v>
          </cell>
          <cell r="B213" t="str">
            <v>SOP/PROD/HOSE/SPS/3/5</v>
          </cell>
        </row>
        <row r="214">
          <cell r="A214" t="str">
            <v>HN0230</v>
          </cell>
          <cell r="B214" t="str">
            <v>SOP/PROD/HOSE/SPS/3/5</v>
          </cell>
        </row>
        <row r="215">
          <cell r="A215" t="str">
            <v>TA0801</v>
          </cell>
          <cell r="B215" t="str">
            <v>SOP/PROD/HOSE/SPS/3/6</v>
          </cell>
        </row>
        <row r="216">
          <cell r="A216" t="str">
            <v>TA0802</v>
          </cell>
          <cell r="B216" t="str">
            <v>SOP/PROD/HOSE/SPS/3/6</v>
          </cell>
        </row>
        <row r="217">
          <cell r="A217" t="str">
            <v>TA0803</v>
          </cell>
          <cell r="B217" t="str">
            <v>SOP/PROD/HOSE/SPS/3/6</v>
          </cell>
        </row>
        <row r="218">
          <cell r="A218" t="str">
            <v>TA0812</v>
          </cell>
          <cell r="B218" t="str">
            <v>SOP/PROD/HOSE/SPS/3/6</v>
          </cell>
        </row>
        <row r="219">
          <cell r="A219" t="str">
            <v>TA0813</v>
          </cell>
          <cell r="B219" t="str">
            <v>SOP/PROD/HOSE/SPS/3/6</v>
          </cell>
        </row>
        <row r="220">
          <cell r="A220" t="str">
            <v>TA1070</v>
          </cell>
          <cell r="B220" t="str">
            <v>SOP/PROD/HOSE/SPS/3/6</v>
          </cell>
        </row>
        <row r="221">
          <cell r="A221" t="str">
            <v>TA1130</v>
          </cell>
          <cell r="B221" t="str">
            <v>SOP/PROD/HOSE/SPS/3/6</v>
          </cell>
        </row>
        <row r="222">
          <cell r="A222" t="str">
            <v>TA1150</v>
          </cell>
          <cell r="B222" t="str">
            <v>SOP/PROD/HOSE/SPS/3/6</v>
          </cell>
        </row>
        <row r="223">
          <cell r="A223" t="str">
            <v>TA1170</v>
          </cell>
          <cell r="B223" t="str">
            <v>SOP/PROD/HOSE/SPS/3/6</v>
          </cell>
        </row>
        <row r="224">
          <cell r="A224" t="str">
            <v>TA1190</v>
          </cell>
          <cell r="B224" t="str">
            <v>SOP/PROD/HOSE/SPS/3/6</v>
          </cell>
        </row>
        <row r="225">
          <cell r="A225" t="str">
            <v>TA1240</v>
          </cell>
          <cell r="B225" t="str">
            <v>SOP/PROD/HOSE/SPS/3/6</v>
          </cell>
        </row>
        <row r="226">
          <cell r="A226" t="str">
            <v>TA1250</v>
          </cell>
          <cell r="B226" t="str">
            <v>SOP/PROD/HOSE/SPS/3/6</v>
          </cell>
        </row>
        <row r="227">
          <cell r="A227" t="str">
            <v>TA1410</v>
          </cell>
          <cell r="B227" t="str">
            <v>SOP/PROD/HOSE/SPS/3/6</v>
          </cell>
        </row>
        <row r="228">
          <cell r="A228" t="str">
            <v>TA1552</v>
          </cell>
          <cell r="B228" t="str">
            <v>SOP/PROD/HOSE/SPS/3/6</v>
          </cell>
        </row>
        <row r="229">
          <cell r="A229" t="str">
            <v>TA1553</v>
          </cell>
          <cell r="B229" t="str">
            <v>SOP/PROD/HOSE/SPS/3/6</v>
          </cell>
        </row>
        <row r="230">
          <cell r="A230" t="str">
            <v>TA1554</v>
          </cell>
          <cell r="B230" t="str">
            <v>SOP/PROD/HOSE/SPS/3/6</v>
          </cell>
        </row>
        <row r="231">
          <cell r="A231" t="str">
            <v>TA1562</v>
          </cell>
          <cell r="B231" t="str">
            <v>SOP/PROD/HOSE/SPS/3/6</v>
          </cell>
        </row>
        <row r="232">
          <cell r="A232" t="str">
            <v>TA1563</v>
          </cell>
          <cell r="B232" t="str">
            <v>SOP/PROD/HOSE/SPS/3/6</v>
          </cell>
        </row>
        <row r="233">
          <cell r="A233" t="str">
            <v>TA1564</v>
          </cell>
          <cell r="B233" t="str">
            <v>SOP/PROD/HOSE/SPS/3/6</v>
          </cell>
        </row>
        <row r="234">
          <cell r="A234" t="str">
            <v>TA1610</v>
          </cell>
          <cell r="B234" t="str">
            <v>SOP/PROD/HOSE/SPS/3/6</v>
          </cell>
        </row>
        <row r="235">
          <cell r="A235" t="str">
            <v>TA1620</v>
          </cell>
          <cell r="B235" t="str">
            <v>SOP/PROD/HOSE/SPS/3/6</v>
          </cell>
        </row>
        <row r="236">
          <cell r="A236" t="str">
            <v>TA1630</v>
          </cell>
          <cell r="B236" t="str">
            <v>SOP/PROD/HOSE/SPS/3/6</v>
          </cell>
        </row>
        <row r="237">
          <cell r="A237" t="str">
            <v>TA1650</v>
          </cell>
          <cell r="B237" t="str">
            <v>SOP/PROD/HOSE/SPS/3/6</v>
          </cell>
        </row>
        <row r="238">
          <cell r="A238" t="str">
            <v>TA1640</v>
          </cell>
          <cell r="B238" t="str">
            <v>SOP/PROD/HOSE/SPS/3/6</v>
          </cell>
        </row>
        <row r="239">
          <cell r="A239" t="str">
            <v>TA2001</v>
          </cell>
          <cell r="B239" t="str">
            <v>SOP/PROD/HOSE/SPS/3/6</v>
          </cell>
        </row>
        <row r="240">
          <cell r="A240" t="str">
            <v>TA2002</v>
          </cell>
          <cell r="B240" t="str">
            <v>SOP/PROD/HOSE/SPS/3/6</v>
          </cell>
        </row>
        <row r="241">
          <cell r="A241" t="str">
            <v>TA2003</v>
          </cell>
          <cell r="B241" t="str">
            <v>SOP/PROD/HOSE/SPS/3/6</v>
          </cell>
        </row>
        <row r="242">
          <cell r="A242" t="str">
            <v>TA2004</v>
          </cell>
          <cell r="B242" t="str">
            <v>SOP/PROD/HOSE/SPS/3/6</v>
          </cell>
        </row>
        <row r="243">
          <cell r="A243" t="str">
            <v>TA2005</v>
          </cell>
          <cell r="B243" t="str">
            <v>SOP/PROD/HOSE/SPS/3/6</v>
          </cell>
        </row>
        <row r="244">
          <cell r="A244" t="str">
            <v>TA2010</v>
          </cell>
          <cell r="B244" t="str">
            <v>SOP/PROD/HOSE/SPS/3/6</v>
          </cell>
        </row>
        <row r="245">
          <cell r="A245" t="str">
            <v>TA2020</v>
          </cell>
          <cell r="B245" t="str">
            <v>SOP/PROD/HOSE/SPS/3/6</v>
          </cell>
        </row>
        <row r="246">
          <cell r="A246" t="str">
            <v>TA2030</v>
          </cell>
          <cell r="B246" t="str">
            <v>SOP/PROD/HOSE/SPS/3/6</v>
          </cell>
        </row>
        <row r="247">
          <cell r="A247" t="str">
            <v>TA2721</v>
          </cell>
          <cell r="B247" t="str">
            <v>SOP/PROD/HOSE/SPS/3/6</v>
          </cell>
        </row>
        <row r="248">
          <cell r="A248" t="str">
            <v>TA2722</v>
          </cell>
          <cell r="B248" t="str">
            <v>SOP/PROD/HOSE/SPS/3/6</v>
          </cell>
        </row>
        <row r="249">
          <cell r="A249" t="str">
            <v>TA2730</v>
          </cell>
          <cell r="B249" t="str">
            <v>SOP/PROD/HOSE/SPS/3/6</v>
          </cell>
        </row>
        <row r="250">
          <cell r="A250" t="str">
            <v>TA1541</v>
          </cell>
          <cell r="B250" t="str">
            <v>SOP/PROD/HOSE/SPS/3/8</v>
          </cell>
        </row>
        <row r="251">
          <cell r="A251" t="str">
            <v>TA1542</v>
          </cell>
          <cell r="B251" t="str">
            <v>SOP/PROD/HOSE/SPS/3/8</v>
          </cell>
        </row>
        <row r="252">
          <cell r="A252" t="str">
            <v>TA1571</v>
          </cell>
          <cell r="B252" t="str">
            <v>SOP/PROD/HOSE/SPS/3/8</v>
          </cell>
        </row>
        <row r="253">
          <cell r="A253" t="str">
            <v>TA1572</v>
          </cell>
          <cell r="B253" t="str">
            <v>SOP/PROD/HOSE/SPS/3/8</v>
          </cell>
        </row>
        <row r="254">
          <cell r="A254" t="str">
            <v>TA1581</v>
          </cell>
          <cell r="B254" t="str">
            <v>SOP/PROD/HOSE/SPS/3/8</v>
          </cell>
        </row>
        <row r="255">
          <cell r="A255" t="str">
            <v>TA1582</v>
          </cell>
          <cell r="B255" t="str">
            <v>SOP/PROD/HOSE/SPS/3/8</v>
          </cell>
        </row>
        <row r="256">
          <cell r="A256" t="str">
            <v>TA1600</v>
          </cell>
          <cell r="B256" t="str">
            <v>SOP/PROD/HOSE/SPS/3/8</v>
          </cell>
        </row>
        <row r="257">
          <cell r="A257" t="str">
            <v>HN0150</v>
          </cell>
          <cell r="B257" t="str">
            <v>SOP/PROD/HOSE/SPS/3/9</v>
          </cell>
        </row>
        <row r="258">
          <cell r="A258" t="str">
            <v>HN0160</v>
          </cell>
          <cell r="B258" t="str">
            <v>SOP/PROD/HOSE/SPS/3/9</v>
          </cell>
        </row>
        <row r="259">
          <cell r="A259" t="str">
            <v>HN0170</v>
          </cell>
          <cell r="B259" t="str">
            <v>SOP/PROD/HOSE/SPS/3/9</v>
          </cell>
        </row>
        <row r="260">
          <cell r="A260" t="str">
            <v>HN0240</v>
          </cell>
          <cell r="B260" t="str">
            <v>SOP/PROD/HOSE/SPS/3/9</v>
          </cell>
        </row>
        <row r="261">
          <cell r="A261" t="str">
            <v>TA1090</v>
          </cell>
          <cell r="B261" t="str">
            <v>SOP/PROD/HOSE/SPS/3/10</v>
          </cell>
        </row>
        <row r="262">
          <cell r="A262" t="str">
            <v>TA1732</v>
          </cell>
          <cell r="B262" t="str">
            <v>SOP/PROD/HOSE/SPS/3/10</v>
          </cell>
        </row>
        <row r="263">
          <cell r="A263" t="str">
            <v>TA1733</v>
          </cell>
          <cell r="B263" t="str">
            <v>SOP/PROD/HOSE/SPS/3/10</v>
          </cell>
        </row>
        <row r="264">
          <cell r="A264" t="str">
            <v>TA1741</v>
          </cell>
          <cell r="B264" t="str">
            <v>SOP/PROD/HOSE/SPS/3/10</v>
          </cell>
        </row>
        <row r="265">
          <cell r="A265" t="str">
            <v>TA2531</v>
          </cell>
          <cell r="B265" t="str">
            <v>SOP/PROD/HOSE/SPS/3/10</v>
          </cell>
        </row>
        <row r="266">
          <cell r="A266" t="str">
            <v>TA2580</v>
          </cell>
          <cell r="B266" t="str">
            <v>SOP/PROD/HOSE/SPS/3/10</v>
          </cell>
        </row>
        <row r="267">
          <cell r="A267" t="str">
            <v>HN0180</v>
          </cell>
          <cell r="B267" t="str">
            <v>SOP/PROD/HOSE/SPS/3/11</v>
          </cell>
        </row>
        <row r="268">
          <cell r="A268" t="str">
            <v>HN0190</v>
          </cell>
          <cell r="B268" t="str">
            <v>SOP/PROD/HOSE/SPS/3/11</v>
          </cell>
        </row>
        <row r="269">
          <cell r="A269" t="str">
            <v>HN0200</v>
          </cell>
          <cell r="B269" t="str">
            <v>SOP/PROD/HOSE/SPS/3/11</v>
          </cell>
        </row>
        <row r="270">
          <cell r="A270" t="str">
            <v>HN0210</v>
          </cell>
          <cell r="B270" t="str">
            <v>SOP/PROD/HOSE/SPS/3/11</v>
          </cell>
        </row>
        <row r="271">
          <cell r="A271" t="str">
            <v>HN0580</v>
          </cell>
          <cell r="B271" t="str">
            <v>SOP/PROD/HOSE/SPS/3/11</v>
          </cell>
        </row>
        <row r="272">
          <cell r="A272" t="str">
            <v>PM1041</v>
          </cell>
          <cell r="B272" t="str">
            <v>SOP/PROD/HOSE/SPS/3/13</v>
          </cell>
        </row>
        <row r="273">
          <cell r="A273" t="str">
            <v>PM105A</v>
          </cell>
          <cell r="B273" t="str">
            <v>SOP/PROD/HOSE/SPS/3/13</v>
          </cell>
        </row>
        <row r="274">
          <cell r="A274" t="str">
            <v>PM1140</v>
          </cell>
          <cell r="B274" t="str">
            <v>SOP/PROD/HOSE/SPS/3/13</v>
          </cell>
        </row>
        <row r="275">
          <cell r="A275" t="str">
            <v>PM1160</v>
          </cell>
          <cell r="B275" t="str">
            <v>SOP/PROD/HOSE/SPS/3/13</v>
          </cell>
        </row>
        <row r="276">
          <cell r="A276" t="str">
            <v>PM1170</v>
          </cell>
          <cell r="B276" t="str">
            <v>SOP/PROD/HOSE/SPS/3/13</v>
          </cell>
        </row>
        <row r="277">
          <cell r="A277" t="str">
            <v>PM1180</v>
          </cell>
          <cell r="B277" t="str">
            <v>SOP/PROD/HOSE/SPS/3/13</v>
          </cell>
        </row>
        <row r="278">
          <cell r="A278" t="str">
            <v>PM1200</v>
          </cell>
          <cell r="B278" t="str">
            <v>SOP/PROD/HOSE/SPS/3/13</v>
          </cell>
        </row>
        <row r="279">
          <cell r="A279" t="str">
            <v>PM1210</v>
          </cell>
          <cell r="B279" t="str">
            <v>SOP/PROD/HOSE/SPS/3/13</v>
          </cell>
        </row>
        <row r="280">
          <cell r="A280" t="str">
            <v>PM1250</v>
          </cell>
          <cell r="B280" t="str">
            <v>SOP/PROD/HOSE/SPS/3/13</v>
          </cell>
        </row>
        <row r="281">
          <cell r="A281" t="str">
            <v>PM1290</v>
          </cell>
          <cell r="B281" t="str">
            <v>SOP/PROD/HOSE/SPS/3/13</v>
          </cell>
        </row>
        <row r="282">
          <cell r="A282" t="str">
            <v>PM1310</v>
          </cell>
          <cell r="B282" t="str">
            <v>SOP/PROD/HOSE/SPS/3/13</v>
          </cell>
        </row>
        <row r="283">
          <cell r="A283" t="str">
            <v>PM1370</v>
          </cell>
          <cell r="B283" t="str">
            <v>SOP/PROD/HOSE/SPS/3/13</v>
          </cell>
        </row>
        <row r="284">
          <cell r="A284" t="str">
            <v>PM1420</v>
          </cell>
          <cell r="B284" t="str">
            <v>SOP/PROD/HOSE/SPS/3/13</v>
          </cell>
        </row>
        <row r="285">
          <cell r="A285" t="str">
            <v>PM1450</v>
          </cell>
          <cell r="B285" t="str">
            <v>SOP/PROD/HOSE/SPS/3/13</v>
          </cell>
        </row>
        <row r="286">
          <cell r="A286" t="str">
            <v>PM1480</v>
          </cell>
          <cell r="B286" t="str">
            <v>SOP/PROD/HOSE/SPS/3/13</v>
          </cell>
        </row>
        <row r="287">
          <cell r="A287" t="str">
            <v>PM1470</v>
          </cell>
          <cell r="B287" t="str">
            <v>SOP/PROD/HOSE/SPS/3/14</v>
          </cell>
        </row>
        <row r="288">
          <cell r="A288" t="str">
            <v>PM1490</v>
          </cell>
          <cell r="B288" t="str">
            <v>SOP/PROD/HOSE/SPS/3/14</v>
          </cell>
        </row>
        <row r="289">
          <cell r="A289" t="str">
            <v>PM1500</v>
          </cell>
          <cell r="B289" t="str">
            <v>SOP/PROD/HOSE/SPS/3/14</v>
          </cell>
        </row>
        <row r="290">
          <cell r="A290" t="str">
            <v>PM1042</v>
          </cell>
          <cell r="B290" t="str">
            <v>SOP/PROD/HOSE/SPS/3/15</v>
          </cell>
        </row>
        <row r="291">
          <cell r="A291" t="str">
            <v>PM1150</v>
          </cell>
          <cell r="B291" t="str">
            <v>SOP/PROD/HOSE/SPS/3/15</v>
          </cell>
        </row>
        <row r="292">
          <cell r="A292" t="str">
            <v>PM1190</v>
          </cell>
          <cell r="B292" t="str">
            <v>SOP/PROD/HOSE/SPS/3/15</v>
          </cell>
        </row>
        <row r="293">
          <cell r="A293" t="str">
            <v>PM1260</v>
          </cell>
          <cell r="B293" t="str">
            <v>SOP/PROD/HOSE/SPS/3/15</v>
          </cell>
        </row>
        <row r="294">
          <cell r="A294" t="str">
            <v>PM1300</v>
          </cell>
          <cell r="B294" t="str">
            <v>SOP/PROD/HOSE/SPS/3/15</v>
          </cell>
        </row>
        <row r="295">
          <cell r="A295" t="str">
            <v>PM1320</v>
          </cell>
          <cell r="B295" t="str">
            <v>SOP/PROD/HOSE/SPS/3/15</v>
          </cell>
        </row>
        <row r="296">
          <cell r="A296" t="str">
            <v>PM1410</v>
          </cell>
          <cell r="B296" t="str">
            <v>SOP/PROD/HOSE/SPS/3/15</v>
          </cell>
        </row>
        <row r="297">
          <cell r="A297" t="str">
            <v>PM1440</v>
          </cell>
          <cell r="B297" t="str">
            <v>SOP/PROD/HOSE/SPS/3/15</v>
          </cell>
        </row>
        <row r="298">
          <cell r="A298" t="str">
            <v>MS0230</v>
          </cell>
          <cell r="B298" t="str">
            <v>SOP/PROD/HOSE/SPS/3/16</v>
          </cell>
        </row>
        <row r="299">
          <cell r="A299" t="str">
            <v>TA1090</v>
          </cell>
          <cell r="B299" t="str">
            <v>SOP/PROD/HOSE/SPS/3/17</v>
          </cell>
        </row>
        <row r="300">
          <cell r="A300" t="str">
            <v>TA1732</v>
          </cell>
          <cell r="B300" t="str">
            <v>SOP/PROD/HOSE/SPS/3/17</v>
          </cell>
        </row>
        <row r="301">
          <cell r="A301" t="str">
            <v>TA1733</v>
          </cell>
          <cell r="B301" t="str">
            <v>SOP/PROD/HOSE/SPS/3/17</v>
          </cell>
        </row>
        <row r="302">
          <cell r="A302" t="str">
            <v>TA1741</v>
          </cell>
          <cell r="B302" t="str">
            <v>SOP/PROD/HOSE/SPS/3/17</v>
          </cell>
        </row>
        <row r="303">
          <cell r="A303" t="str">
            <v>TA2531</v>
          </cell>
          <cell r="B303" t="str">
            <v>SOP/PROD/HOSE/SPS/3/17</v>
          </cell>
        </row>
        <row r="304">
          <cell r="A304" t="str">
            <v>TA2580</v>
          </cell>
          <cell r="B304" t="str">
            <v>SOP/PROD/HOSE/SPS/3/17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"/>
      <sheetName val="CHS 2"/>
      <sheetName val="CHS 3"/>
      <sheetName val="Sheet1"/>
      <sheetName val="Sheet2"/>
    </sheetNames>
    <sheetDataSet>
      <sheetData sheetId="0"/>
      <sheetData sheetId="1"/>
      <sheetData sheetId="2"/>
      <sheetData sheetId="3">
        <row r="2">
          <cell r="A2" t="str">
            <v>TA1080</v>
          </cell>
          <cell r="B2" t="str">
            <v>33019-0K010</v>
          </cell>
        </row>
        <row r="3">
          <cell r="A3" t="str">
            <v>TA0320</v>
          </cell>
          <cell r="B3" t="e">
            <v>#N/A</v>
          </cell>
        </row>
        <row r="4">
          <cell r="A4" t="str">
            <v>TA1760</v>
          </cell>
          <cell r="B4" t="str">
            <v>33019-0K180</v>
          </cell>
        </row>
        <row r="5">
          <cell r="A5" t="str">
            <v>HN0270</v>
          </cell>
          <cell r="B5" t="str">
            <v>44771-22700</v>
          </cell>
        </row>
        <row r="6">
          <cell r="A6" t="str">
            <v>HN0280</v>
          </cell>
          <cell r="B6" t="str">
            <v>44771-23700</v>
          </cell>
        </row>
        <row r="7">
          <cell r="A7" t="str">
            <v>HN0290</v>
          </cell>
          <cell r="B7" t="str">
            <v>44771-24000</v>
          </cell>
        </row>
        <row r="8">
          <cell r="A8" t="str">
            <v>HN0400</v>
          </cell>
          <cell r="B8" t="str">
            <v>44771-2380A</v>
          </cell>
        </row>
        <row r="9">
          <cell r="A9" t="str">
            <v>NA2033</v>
          </cell>
          <cell r="B9" t="str">
            <v>23828-BZ010-H</v>
          </cell>
        </row>
        <row r="10">
          <cell r="A10" t="str">
            <v>TA1230</v>
          </cell>
          <cell r="B10" t="str">
            <v>77249-KK010</v>
          </cell>
        </row>
        <row r="11">
          <cell r="A11" t="str">
            <v>TA1750</v>
          </cell>
          <cell r="B11" t="str">
            <v>77249-KK020</v>
          </cell>
        </row>
        <row r="12">
          <cell r="A12" t="str">
            <v>NA1661</v>
          </cell>
          <cell r="B12" t="str">
            <v>77754-BZ240</v>
          </cell>
        </row>
        <row r="13">
          <cell r="A13" t="str">
            <v>NA1662</v>
          </cell>
          <cell r="B13" t="str">
            <v>77754-BZ260</v>
          </cell>
        </row>
        <row r="14">
          <cell r="A14" t="str">
            <v>NA1671</v>
          </cell>
          <cell r="B14" t="str">
            <v>77754-BZ250</v>
          </cell>
        </row>
        <row r="15">
          <cell r="A15" t="str">
            <v>NA1672</v>
          </cell>
          <cell r="B15" t="str">
            <v>77754-BZ230</v>
          </cell>
        </row>
        <row r="16">
          <cell r="A16" t="str">
            <v>NA1821</v>
          </cell>
          <cell r="B16" t="str">
            <v>77754-BZ300</v>
          </cell>
        </row>
        <row r="17">
          <cell r="A17" t="str">
            <v>NA1822</v>
          </cell>
          <cell r="B17" t="str">
            <v>77754-BZ310</v>
          </cell>
        </row>
        <row r="18">
          <cell r="A18" t="str">
            <v>NA1270</v>
          </cell>
          <cell r="B18" t="str">
            <v>23827-BZ010</v>
          </cell>
        </row>
        <row r="19">
          <cell r="A19" t="str">
            <v>NA1280</v>
          </cell>
          <cell r="B19" t="str">
            <v>77754-BZ080</v>
          </cell>
        </row>
        <row r="20">
          <cell r="A20" t="str">
            <v>NA1360</v>
          </cell>
          <cell r="B20" t="str">
            <v>77754-BZ090</v>
          </cell>
        </row>
        <row r="21">
          <cell r="A21" t="str">
            <v>NA1370</v>
          </cell>
          <cell r="B21" t="str">
            <v>77795-BZ100</v>
          </cell>
        </row>
        <row r="22">
          <cell r="A22" t="str">
            <v>TA1400</v>
          </cell>
          <cell r="B22" t="str">
            <v>23829-0L010</v>
          </cell>
        </row>
        <row r="23">
          <cell r="A23" t="str">
            <v>TA1530</v>
          </cell>
          <cell r="B23" t="str">
            <v>23829-0P190</v>
          </cell>
        </row>
        <row r="24">
          <cell r="A24" t="str">
            <v>TA1840</v>
          </cell>
          <cell r="B24" t="str">
            <v>23826-0Y040</v>
          </cell>
        </row>
        <row r="25">
          <cell r="A25" t="str">
            <v>TA1710</v>
          </cell>
          <cell r="B25" t="str">
            <v>GH319-47110</v>
          </cell>
        </row>
        <row r="26">
          <cell r="A26" t="str">
            <v>TA1520</v>
          </cell>
          <cell r="B26" t="str">
            <v>23827-0C050</v>
          </cell>
        </row>
        <row r="27">
          <cell r="A27" t="str">
            <v>TA2510</v>
          </cell>
          <cell r="B27" t="str">
            <v>23827-0Y270</v>
          </cell>
        </row>
        <row r="28">
          <cell r="A28" t="str">
            <v>TA2500</v>
          </cell>
          <cell r="B28" t="str">
            <v>23826-0Y340</v>
          </cell>
        </row>
        <row r="29">
          <cell r="A29" t="str">
            <v>NA2820</v>
          </cell>
          <cell r="B29" t="str">
            <v>23827-BZ130-H</v>
          </cell>
        </row>
        <row r="30">
          <cell r="A30" t="str">
            <v>NA1560</v>
          </cell>
          <cell r="B30" t="str">
            <v>23827-BZ020</v>
          </cell>
        </row>
        <row r="31">
          <cell r="A31" t="str">
            <v>NA2662</v>
          </cell>
          <cell r="B31" t="str">
            <v>23827-BZ150-H (2)</v>
          </cell>
        </row>
        <row r="32">
          <cell r="A32" t="str">
            <v>NA1690</v>
          </cell>
          <cell r="B32" t="str">
            <v>23827-BZ060</v>
          </cell>
        </row>
        <row r="33">
          <cell r="A33" t="str">
            <v>NA1630</v>
          </cell>
          <cell r="B33" t="str">
            <v>23827-BZ080</v>
          </cell>
        </row>
        <row r="34">
          <cell r="A34" t="str">
            <v>TA0590</v>
          </cell>
          <cell r="B34" t="str">
            <v>31434-0D030</v>
          </cell>
        </row>
        <row r="35">
          <cell r="A35" t="str">
            <v>TA1860</v>
          </cell>
          <cell r="B35" t="str">
            <v>31343-0D120</v>
          </cell>
        </row>
        <row r="36">
          <cell r="A36" t="str">
            <v>TA166B</v>
          </cell>
          <cell r="B36" t="e">
            <v>#N/A</v>
          </cell>
        </row>
        <row r="37">
          <cell r="A37" t="str">
            <v>TA2990</v>
          </cell>
          <cell r="B37" t="str">
            <v>12261-BZ310</v>
          </cell>
        </row>
        <row r="38">
          <cell r="A38" t="str">
            <v>MS0800</v>
          </cell>
          <cell r="B38" t="e">
            <v>#N/A</v>
          </cell>
        </row>
        <row r="39">
          <cell r="A39" t="str">
            <v>MS0090</v>
          </cell>
          <cell r="B39" t="e">
            <v>#N/A</v>
          </cell>
        </row>
        <row r="40">
          <cell r="A40" t="str">
            <v>MS0100</v>
          </cell>
          <cell r="B40" t="str">
            <v>MK515626</v>
          </cell>
        </row>
        <row r="41">
          <cell r="A41" t="str">
            <v>MS0110</v>
          </cell>
          <cell r="B41" t="str">
            <v>MK515628</v>
          </cell>
        </row>
        <row r="42">
          <cell r="A42" t="str">
            <v>MS0120</v>
          </cell>
          <cell r="B42" t="str">
            <v>MK551876</v>
          </cell>
        </row>
        <row r="43">
          <cell r="A43" t="str">
            <v>TA0640</v>
          </cell>
          <cell r="B43" t="str">
            <v>77028-0D160</v>
          </cell>
        </row>
        <row r="44">
          <cell r="A44" t="str">
            <v>TA0630</v>
          </cell>
          <cell r="B44" t="str">
            <v>77701-0D110</v>
          </cell>
        </row>
        <row r="45">
          <cell r="A45" t="str">
            <v>TA0580</v>
          </cell>
          <cell r="B45" t="str">
            <v>77269-0D100</v>
          </cell>
        </row>
        <row r="46">
          <cell r="A46" t="str">
            <v>TA1700</v>
          </cell>
          <cell r="B46" t="str">
            <v>GH319-46840-A</v>
          </cell>
        </row>
        <row r="47">
          <cell r="A47" t="str">
            <v>TA1710</v>
          </cell>
          <cell r="B47" t="str">
            <v>GH319-47110</v>
          </cell>
        </row>
        <row r="48">
          <cell r="A48" t="str">
            <v>TA1520</v>
          </cell>
          <cell r="B48" t="str">
            <v>23827-0C050</v>
          </cell>
        </row>
        <row r="49">
          <cell r="A49" t="str">
            <v>TA2510</v>
          </cell>
          <cell r="B49" t="str">
            <v>23827-0Y270</v>
          </cell>
        </row>
        <row r="50">
          <cell r="A50" t="str">
            <v>TA2500</v>
          </cell>
          <cell r="B50" t="str">
            <v>23826-0Y340</v>
          </cell>
        </row>
        <row r="51">
          <cell r="A51" t="str">
            <v>FM1450</v>
          </cell>
          <cell r="B51">
            <v>0</v>
          </cell>
        </row>
        <row r="52">
          <cell r="A52" t="str">
            <v>FM1940</v>
          </cell>
          <cell r="B52" t="e">
            <v>#N/A</v>
          </cell>
        </row>
        <row r="53">
          <cell r="A53" t="str">
            <v>NA3311</v>
          </cell>
          <cell r="B53" t="str">
            <v>17294-B1050</v>
          </cell>
        </row>
        <row r="54">
          <cell r="A54" t="str">
            <v>NA3312</v>
          </cell>
          <cell r="B54" t="str">
            <v>17294-B1070</v>
          </cell>
        </row>
        <row r="55">
          <cell r="A55" t="str">
            <v>NA1600</v>
          </cell>
          <cell r="B55" t="str">
            <v>12261-BZ180</v>
          </cell>
        </row>
        <row r="56">
          <cell r="A56" t="str">
            <v>NA1680</v>
          </cell>
          <cell r="B56" t="str">
            <v>12261-BZ220</v>
          </cell>
        </row>
        <row r="57">
          <cell r="A57" t="str">
            <v>NA2780</v>
          </cell>
          <cell r="B57" t="str">
            <v>12261-BZ210-B</v>
          </cell>
        </row>
        <row r="58">
          <cell r="A58" t="str">
            <v>NA1410</v>
          </cell>
          <cell r="B58" t="str">
            <v>12261-BZ160</v>
          </cell>
        </row>
        <row r="59">
          <cell r="A59" t="str">
            <v>PM1460</v>
          </cell>
          <cell r="B59" t="e">
            <v>#N/A</v>
          </cell>
        </row>
        <row r="60">
          <cell r="A60" t="str">
            <v>NA3220</v>
          </cell>
          <cell r="B60" t="str">
            <v>31434-B0041</v>
          </cell>
        </row>
        <row r="61">
          <cell r="A61" t="str">
            <v>NA3230</v>
          </cell>
          <cell r="B61" t="str">
            <v>31434-B0080</v>
          </cell>
        </row>
        <row r="62">
          <cell r="A62" t="str">
            <v>NA3240</v>
          </cell>
          <cell r="B62" t="str">
            <v>31434-B1070</v>
          </cell>
        </row>
        <row r="63">
          <cell r="A63" t="str">
            <v>NA3250</v>
          </cell>
          <cell r="B63" t="str">
            <v>31434-B1090</v>
          </cell>
        </row>
        <row r="64">
          <cell r="A64" t="str">
            <v>NA3260</v>
          </cell>
          <cell r="B64" t="str">
            <v>31434-B5030</v>
          </cell>
        </row>
        <row r="65">
          <cell r="A65" t="str">
            <v>NA2140</v>
          </cell>
          <cell r="B65" t="str">
            <v>77259-BZ120-H</v>
          </cell>
        </row>
        <row r="66">
          <cell r="A66" t="str">
            <v>NA1650</v>
          </cell>
          <cell r="B66" t="str">
            <v>77269-BZ120</v>
          </cell>
        </row>
        <row r="67">
          <cell r="A67" t="str">
            <v>NA2110</v>
          </cell>
          <cell r="B67" t="str">
            <v>77269-BZ130-H</v>
          </cell>
        </row>
        <row r="68">
          <cell r="A68" t="str">
            <v>NA2040</v>
          </cell>
          <cell r="B68" t="str">
            <v>12262-BZ130-H</v>
          </cell>
        </row>
        <row r="69">
          <cell r="A69" t="str">
            <v>NA2050</v>
          </cell>
          <cell r="B69" t="str">
            <v>12262-BZ200-H</v>
          </cell>
        </row>
        <row r="70">
          <cell r="A70" t="str">
            <v>TA1180</v>
          </cell>
          <cell r="B70" t="str">
            <v>17344-0C070</v>
          </cell>
        </row>
        <row r="71">
          <cell r="A71" t="str">
            <v>TA1220</v>
          </cell>
          <cell r="B71" t="str">
            <v>17343-0C070</v>
          </cell>
        </row>
        <row r="72">
          <cell r="A72" t="str">
            <v>TA1060</v>
          </cell>
          <cell r="B72" t="str">
            <v>17341-0C070</v>
          </cell>
        </row>
        <row r="73">
          <cell r="A73" t="str">
            <v>TA1140</v>
          </cell>
          <cell r="B73" t="str">
            <v>17342-0C070</v>
          </cell>
        </row>
        <row r="74">
          <cell r="A74" t="str">
            <v>NA1640</v>
          </cell>
          <cell r="B74" t="str">
            <v>77213-BZ150</v>
          </cell>
        </row>
        <row r="75">
          <cell r="A75" t="str">
            <v>NA1580</v>
          </cell>
          <cell r="B75" t="str">
            <v>77213-BZ170</v>
          </cell>
        </row>
        <row r="76">
          <cell r="A76" t="str">
            <v>NA1610</v>
          </cell>
          <cell r="B76" t="str">
            <v>77213-BZ160</v>
          </cell>
        </row>
        <row r="77">
          <cell r="A77" t="str">
            <v>NA2900</v>
          </cell>
          <cell r="B77" t="str">
            <v>77213-BZ250-H</v>
          </cell>
        </row>
        <row r="78">
          <cell r="A78" t="str">
            <v>NA3270</v>
          </cell>
          <cell r="B78" t="str">
            <v>31434-B5470</v>
          </cell>
        </row>
        <row r="79">
          <cell r="A79" t="str">
            <v>TA1970</v>
          </cell>
          <cell r="B79" t="str">
            <v>23827-0C060</v>
          </cell>
        </row>
        <row r="80">
          <cell r="A80" t="str">
            <v>NA2910</v>
          </cell>
          <cell r="B80" t="str">
            <v>77269-BZ140-H</v>
          </cell>
        </row>
        <row r="81">
          <cell r="A81" t="str">
            <v>TA0390</v>
          </cell>
          <cell r="B81" t="str">
            <v>12268-942LL</v>
          </cell>
        </row>
        <row r="82">
          <cell r="A82" t="str">
            <v>TA1120</v>
          </cell>
          <cell r="B82" t="str">
            <v>33019-0K110</v>
          </cell>
        </row>
        <row r="83">
          <cell r="A83" t="str">
            <v>TA1160</v>
          </cell>
          <cell r="B83" t="str">
            <v>33019-0K070</v>
          </cell>
        </row>
        <row r="84">
          <cell r="A84" t="str">
            <v>TA1200</v>
          </cell>
          <cell r="B84" t="str">
            <v>33019-0K120</v>
          </cell>
        </row>
        <row r="85">
          <cell r="A85" t="str">
            <v>TA3020</v>
          </cell>
          <cell r="B85" t="str">
            <v>31432-D03BL-1</v>
          </cell>
        </row>
        <row r="86">
          <cell r="A86" t="str">
            <v>TA0570</v>
          </cell>
          <cell r="B86" t="str">
            <v>77213-0D170</v>
          </cell>
        </row>
        <row r="87">
          <cell r="A87" t="str">
            <v>TA3030</v>
          </cell>
          <cell r="B87" t="str">
            <v>12261-BZ320-H</v>
          </cell>
        </row>
        <row r="88">
          <cell r="A88" t="str">
            <v>NA1570</v>
          </cell>
          <cell r="B88" t="str">
            <v>12262-BZ080</v>
          </cell>
        </row>
        <row r="89">
          <cell r="A89" t="str">
            <v>TA1820</v>
          </cell>
          <cell r="B89" t="str">
            <v>12262-0Y090</v>
          </cell>
        </row>
        <row r="90">
          <cell r="A90" t="str">
            <v>TA2040</v>
          </cell>
          <cell r="B90" t="str">
            <v>12262-0Y130</v>
          </cell>
        </row>
        <row r="91">
          <cell r="A91" t="str">
            <v>TA3040</v>
          </cell>
          <cell r="B91" t="str">
            <v>12262-BZ230-H</v>
          </cell>
        </row>
        <row r="92">
          <cell r="A92" t="str">
            <v>PM1350</v>
          </cell>
          <cell r="B92">
            <v>8982173462</v>
          </cell>
        </row>
        <row r="93">
          <cell r="A93" t="str">
            <v>NA2060</v>
          </cell>
          <cell r="B93" t="str">
            <v>77249-BZ030-H</v>
          </cell>
        </row>
        <row r="94">
          <cell r="A94" t="str">
            <v>NA2120</v>
          </cell>
          <cell r="B94" t="str">
            <v>77259-BZ130-H</v>
          </cell>
        </row>
        <row r="95">
          <cell r="A95" t="str">
            <v>NA2661</v>
          </cell>
          <cell r="B95" t="str">
            <v>23827-BZ150-H (1)</v>
          </cell>
        </row>
        <row r="96">
          <cell r="A96" t="str">
            <v>NA1801</v>
          </cell>
          <cell r="B96" t="str">
            <v>77754-BZ320</v>
          </cell>
        </row>
        <row r="97">
          <cell r="A97" t="str">
            <v>NA1802</v>
          </cell>
          <cell r="B97" t="str">
            <v>77754-BZ330</v>
          </cell>
        </row>
        <row r="98">
          <cell r="A98" t="str">
            <v>MS0240</v>
          </cell>
          <cell r="B98" t="str">
            <v>A4301870082</v>
          </cell>
        </row>
        <row r="99">
          <cell r="A99" t="str">
            <v>PM1060</v>
          </cell>
          <cell r="B99">
            <v>8982851430</v>
          </cell>
        </row>
        <row r="100">
          <cell r="A100" t="str">
            <v>PM1070</v>
          </cell>
          <cell r="B100">
            <v>8982851440</v>
          </cell>
        </row>
        <row r="101">
          <cell r="A101" t="str">
            <v>PM1080</v>
          </cell>
          <cell r="B101">
            <v>8982597690</v>
          </cell>
        </row>
        <row r="102">
          <cell r="A102" t="str">
            <v>PM1100</v>
          </cell>
          <cell r="B102">
            <v>8982391660</v>
          </cell>
        </row>
        <row r="103">
          <cell r="A103" t="str">
            <v>PM1120</v>
          </cell>
          <cell r="B103">
            <v>8975170170</v>
          </cell>
        </row>
        <row r="104">
          <cell r="A104" t="str">
            <v>PM1330</v>
          </cell>
          <cell r="B104">
            <v>8980009670</v>
          </cell>
        </row>
        <row r="105">
          <cell r="A105" t="str">
            <v>PM1360</v>
          </cell>
          <cell r="B105">
            <v>8980009661</v>
          </cell>
        </row>
        <row r="106">
          <cell r="A106" t="str">
            <v>TA1440</v>
          </cell>
          <cell r="B106" t="str">
            <v>16571-0L110</v>
          </cell>
        </row>
        <row r="107">
          <cell r="A107" t="str">
            <v>TA1470</v>
          </cell>
          <cell r="B107" t="str">
            <v>16572-0L110</v>
          </cell>
        </row>
        <row r="108">
          <cell r="A108" t="str">
            <v>TA1430</v>
          </cell>
          <cell r="B108" t="str">
            <v>16571-0L100</v>
          </cell>
        </row>
        <row r="109">
          <cell r="A109" t="str">
            <v>TA1460</v>
          </cell>
          <cell r="B109" t="str">
            <v>16572-0L100</v>
          </cell>
        </row>
        <row r="110">
          <cell r="A110" t="str">
            <v>TA1340</v>
          </cell>
          <cell r="B110" t="str">
            <v>16571-0P300</v>
          </cell>
        </row>
        <row r="111">
          <cell r="A111" t="str">
            <v>TA1350</v>
          </cell>
          <cell r="B111" t="str">
            <v>16572-0P300</v>
          </cell>
        </row>
        <row r="112">
          <cell r="A112" t="str">
            <v>TA1420</v>
          </cell>
          <cell r="B112" t="str">
            <v>16571-0C140</v>
          </cell>
        </row>
        <row r="113">
          <cell r="A113" t="str">
            <v>TA1450</v>
          </cell>
          <cell r="B113" t="str">
            <v>16572-0C140</v>
          </cell>
        </row>
        <row r="114">
          <cell r="A114" t="str">
            <v>TA2633</v>
          </cell>
          <cell r="B114" t="str">
            <v>16571-VT020</v>
          </cell>
        </row>
        <row r="115">
          <cell r="A115" t="str">
            <v>TA2634</v>
          </cell>
          <cell r="B115" t="str">
            <v>16574-VT020</v>
          </cell>
        </row>
        <row r="116">
          <cell r="A116" t="str">
            <v>TA2640</v>
          </cell>
          <cell r="B116" t="str">
            <v>16571-VT040-B</v>
          </cell>
        </row>
        <row r="117">
          <cell r="A117" t="str">
            <v>TA2650</v>
          </cell>
          <cell r="B117" t="str">
            <v>16572-VT020-B</v>
          </cell>
        </row>
        <row r="118">
          <cell r="A118" t="str">
            <v>TA2660</v>
          </cell>
          <cell r="B118" t="str">
            <v>16572-VT040-A</v>
          </cell>
        </row>
        <row r="119">
          <cell r="A119" t="str">
            <v>NA1440</v>
          </cell>
          <cell r="B119" t="str">
            <v>16571-BZ290</v>
          </cell>
        </row>
        <row r="120">
          <cell r="A120" t="str">
            <v>NA1430</v>
          </cell>
          <cell r="B120" t="str">
            <v>16571-BZ280</v>
          </cell>
        </row>
        <row r="121">
          <cell r="A121" t="str">
            <v>TA1780</v>
          </cell>
          <cell r="B121" t="str">
            <v>16571-0Y280</v>
          </cell>
        </row>
        <row r="122">
          <cell r="A122" t="str">
            <v>TA2120</v>
          </cell>
          <cell r="B122" t="str">
            <v>16571-0Y290</v>
          </cell>
        </row>
        <row r="123">
          <cell r="A123" t="str">
            <v>NA1420</v>
          </cell>
          <cell r="B123" t="str">
            <v>16572-BZ210</v>
          </cell>
        </row>
        <row r="124">
          <cell r="A124" t="str">
            <v>NA1480</v>
          </cell>
          <cell r="B124" t="str">
            <v>16571-BZ270</v>
          </cell>
        </row>
        <row r="125">
          <cell r="A125" t="str">
            <v>TA1670</v>
          </cell>
          <cell r="B125" t="str">
            <v>16261-0Y030</v>
          </cell>
        </row>
        <row r="126">
          <cell r="A126" t="str">
            <v>NA1830</v>
          </cell>
          <cell r="B126" t="str">
            <v>16267-BZ080</v>
          </cell>
        </row>
        <row r="127">
          <cell r="A127" t="str">
            <v>NA2180</v>
          </cell>
          <cell r="B127" t="str">
            <v>87245-BZ300-J</v>
          </cell>
        </row>
        <row r="128">
          <cell r="A128" t="str">
            <v>NA2630</v>
          </cell>
          <cell r="B128" t="str">
            <v>16264-BZ320-H</v>
          </cell>
        </row>
        <row r="129">
          <cell r="A129" t="str">
            <v>NA2680</v>
          </cell>
          <cell r="B129" t="str">
            <v>16261-BZ660-H</v>
          </cell>
        </row>
        <row r="130">
          <cell r="A130" t="str">
            <v>NA2740</v>
          </cell>
          <cell r="B130" t="str">
            <v>16264-BZ320-H</v>
          </cell>
        </row>
        <row r="131">
          <cell r="A131" t="str">
            <v>NA2750</v>
          </cell>
          <cell r="B131" t="str">
            <v>16261-BZ650-H</v>
          </cell>
        </row>
        <row r="132">
          <cell r="A132" t="str">
            <v>NA3000</v>
          </cell>
          <cell r="B132" t="e">
            <v>#N/A</v>
          </cell>
        </row>
        <row r="133">
          <cell r="A133" t="str">
            <v>NA3030</v>
          </cell>
          <cell r="B133" t="e">
            <v>#N/A</v>
          </cell>
        </row>
        <row r="134">
          <cell r="A134" t="str">
            <v>NA3040</v>
          </cell>
          <cell r="B134" t="e">
            <v>#N/A</v>
          </cell>
        </row>
        <row r="135">
          <cell r="A135" t="str">
            <v>TA1830</v>
          </cell>
          <cell r="B135" t="str">
            <v>16281-0Y030</v>
          </cell>
        </row>
        <row r="136">
          <cell r="A136" t="str">
            <v>TA1773</v>
          </cell>
          <cell r="B136" t="str">
            <v>16260-0Y080-3</v>
          </cell>
        </row>
        <row r="137">
          <cell r="A137" t="str">
            <v>TA1774</v>
          </cell>
          <cell r="B137" t="str">
            <v>16260-0Y080-4</v>
          </cell>
        </row>
        <row r="138">
          <cell r="A138" t="str">
            <v>TA1890</v>
          </cell>
          <cell r="B138" t="str">
            <v>16264-0L070</v>
          </cell>
        </row>
        <row r="139">
          <cell r="A139" t="str">
            <v>TA2631</v>
          </cell>
          <cell r="B139" t="str">
            <v>16282-VT060</v>
          </cell>
        </row>
        <row r="140">
          <cell r="A140" t="str">
            <v>TA2632</v>
          </cell>
          <cell r="B140" t="str">
            <v>16283-VT040</v>
          </cell>
        </row>
        <row r="141">
          <cell r="A141" t="str">
            <v>TA2670</v>
          </cell>
          <cell r="B141" t="str">
            <v>G9225-VT020</v>
          </cell>
        </row>
        <row r="142">
          <cell r="A142" t="str">
            <v>TA2680</v>
          </cell>
          <cell r="B142" t="str">
            <v>G9226-VT020-C</v>
          </cell>
        </row>
        <row r="143">
          <cell r="A143" t="str">
            <v>TA2690</v>
          </cell>
          <cell r="B143" t="str">
            <v>G9227-VT020-B</v>
          </cell>
        </row>
        <row r="144">
          <cell r="A144" t="str">
            <v>TA2700</v>
          </cell>
          <cell r="B144" t="str">
            <v>G9228-VT020-B</v>
          </cell>
        </row>
        <row r="145">
          <cell r="A145" t="str">
            <v>TA2711</v>
          </cell>
          <cell r="B145" t="str">
            <v>G9229-VT020-A</v>
          </cell>
        </row>
        <row r="146">
          <cell r="A146" t="str">
            <v>TA2712</v>
          </cell>
          <cell r="B146" t="str">
            <v>G9229-VT020-A</v>
          </cell>
        </row>
        <row r="147">
          <cell r="A147" t="str">
            <v>NA1460</v>
          </cell>
          <cell r="B147" t="str">
            <v>87246-BZ130</v>
          </cell>
        </row>
        <row r="148">
          <cell r="A148" t="str">
            <v>NA1470</v>
          </cell>
          <cell r="B148" t="str">
            <v>87245-BZ190</v>
          </cell>
        </row>
        <row r="149">
          <cell r="A149" t="str">
            <v>NA1870</v>
          </cell>
          <cell r="B149" t="str">
            <v>16264-BZ220</v>
          </cell>
        </row>
        <row r="150">
          <cell r="A150" t="str">
            <v>NA1880</v>
          </cell>
          <cell r="B150" t="str">
            <v>16261-BZ560</v>
          </cell>
        </row>
        <row r="151">
          <cell r="A151" t="str">
            <v>NA1900</v>
          </cell>
          <cell r="B151" t="str">
            <v>87246-BZ310</v>
          </cell>
        </row>
        <row r="152">
          <cell r="A152" t="str">
            <v>NA1910</v>
          </cell>
          <cell r="B152" t="str">
            <v>87245-BZ280</v>
          </cell>
        </row>
        <row r="153">
          <cell r="A153" t="str">
            <v>NA1890</v>
          </cell>
          <cell r="B153" t="str">
            <v>87246-BZ220</v>
          </cell>
        </row>
        <row r="154">
          <cell r="A154" t="str">
            <v>NA1920</v>
          </cell>
          <cell r="B154" t="str">
            <v>87245-BZ370</v>
          </cell>
        </row>
        <row r="155">
          <cell r="A155" t="str">
            <v>NA2090</v>
          </cell>
          <cell r="B155" t="str">
            <v>16261-BZ610-J</v>
          </cell>
        </row>
        <row r="156">
          <cell r="A156" t="str">
            <v>NA2100</v>
          </cell>
          <cell r="B156" t="str">
            <v>16264-BZ310-J</v>
          </cell>
        </row>
        <row r="157">
          <cell r="A157" t="str">
            <v>NA2150</v>
          </cell>
          <cell r="B157" t="str">
            <v>87245-BZ290-K</v>
          </cell>
        </row>
        <row r="158">
          <cell r="A158" t="str">
            <v>NA2190</v>
          </cell>
          <cell r="B158" t="str">
            <v>87245-BZ310-H</v>
          </cell>
        </row>
        <row r="159">
          <cell r="A159" t="str">
            <v>NA2200</v>
          </cell>
          <cell r="B159" t="str">
            <v>87246-BZ250-H</v>
          </cell>
        </row>
        <row r="160">
          <cell r="A160" t="str">
            <v>NA2210</v>
          </cell>
          <cell r="B160" t="str">
            <v>87245-BZ330-K</v>
          </cell>
        </row>
        <row r="161">
          <cell r="A161" t="str">
            <v>NA2230</v>
          </cell>
          <cell r="B161" t="str">
            <v>87245-BZ340-H</v>
          </cell>
        </row>
        <row r="162">
          <cell r="A162" t="str">
            <v>NA2240</v>
          </cell>
          <cell r="B162" t="str">
            <v>87245-BZ350-H</v>
          </cell>
        </row>
        <row r="163">
          <cell r="A163" t="str">
            <v>NA2250</v>
          </cell>
          <cell r="B163" t="str">
            <v>87246-BZ290-H</v>
          </cell>
        </row>
        <row r="164">
          <cell r="A164" t="str">
            <v>NA2320</v>
          </cell>
          <cell r="B164" t="str">
            <v>87246-BZ240-H</v>
          </cell>
        </row>
        <row r="165">
          <cell r="A165" t="str">
            <v>NA2330</v>
          </cell>
          <cell r="B165" t="str">
            <v>87246-BZ280-H</v>
          </cell>
        </row>
        <row r="166">
          <cell r="A166" t="str">
            <v>NA2400</v>
          </cell>
          <cell r="B166" t="e">
            <v>#N/A</v>
          </cell>
        </row>
        <row r="167">
          <cell r="A167" t="str">
            <v>NA2410</v>
          </cell>
          <cell r="B167" t="str">
            <v>87245-BZ330-K</v>
          </cell>
        </row>
        <row r="168">
          <cell r="A168" t="str">
            <v>TA2770</v>
          </cell>
          <cell r="B168" t="e">
            <v>#N/A</v>
          </cell>
        </row>
        <row r="169">
          <cell r="A169" t="str">
            <v>NA2800</v>
          </cell>
          <cell r="B169" t="str">
            <v>16264-BZ230-H</v>
          </cell>
        </row>
        <row r="170">
          <cell r="A170" t="str">
            <v>NA2830</v>
          </cell>
          <cell r="B170" t="str">
            <v>16261-BZ430-H</v>
          </cell>
        </row>
        <row r="171">
          <cell r="A171" t="str">
            <v>NA2920</v>
          </cell>
          <cell r="B171" t="str">
            <v>87245-BZ380-H</v>
          </cell>
        </row>
        <row r="172">
          <cell r="A172" t="str">
            <v>NA2930</v>
          </cell>
          <cell r="B172" t="str">
            <v>87245-BZ390-H</v>
          </cell>
        </row>
        <row r="173">
          <cell r="A173" t="str">
            <v>NA2950</v>
          </cell>
          <cell r="B173" t="str">
            <v>87245-BZ410-H</v>
          </cell>
        </row>
        <row r="174">
          <cell r="A174" t="str">
            <v>NA2960</v>
          </cell>
          <cell r="B174" t="str">
            <v>87246-BZ320-H</v>
          </cell>
        </row>
        <row r="175">
          <cell r="A175" t="str">
            <v>NA2970</v>
          </cell>
          <cell r="B175" t="str">
            <v>87246-BZ330-H</v>
          </cell>
        </row>
        <row r="176">
          <cell r="A176" t="str">
            <v>NA3070</v>
          </cell>
          <cell r="B176" t="str">
            <v>87246-BZ370-H</v>
          </cell>
        </row>
        <row r="177">
          <cell r="A177" t="str">
            <v>NA3090</v>
          </cell>
          <cell r="B177" t="str">
            <v>87245-BZ430-H</v>
          </cell>
        </row>
        <row r="178">
          <cell r="A178" t="str">
            <v>NA3120</v>
          </cell>
          <cell r="B178" t="str">
            <v>87245-BZ450-H</v>
          </cell>
        </row>
        <row r="179">
          <cell r="A179" t="str">
            <v>NA3150</v>
          </cell>
          <cell r="B179" t="str">
            <v>87246-BZ390H</v>
          </cell>
        </row>
        <row r="180">
          <cell r="A180" t="str">
            <v>NA3280</v>
          </cell>
          <cell r="B180" t="str">
            <v>87246-BZ300-H</v>
          </cell>
        </row>
        <row r="181">
          <cell r="A181" t="str">
            <v>NA3291</v>
          </cell>
          <cell r="B181" t="str">
            <v>87246-BZ450-H</v>
          </cell>
        </row>
        <row r="182">
          <cell r="A182" t="str">
            <v>NA3292</v>
          </cell>
          <cell r="B182" t="str">
            <v>87246-BZ460-H</v>
          </cell>
        </row>
        <row r="183">
          <cell r="A183" t="str">
            <v>NA3300</v>
          </cell>
          <cell r="B183" t="e">
            <v>#N/A</v>
          </cell>
        </row>
        <row r="184">
          <cell r="A184" t="str">
            <v>NA3301</v>
          </cell>
          <cell r="B184" t="str">
            <v>87245-BZ360-H</v>
          </cell>
        </row>
        <row r="185">
          <cell r="A185" t="str">
            <v>NA3320</v>
          </cell>
          <cell r="B185" t="str">
            <v>16264-BZ400-H</v>
          </cell>
        </row>
        <row r="186">
          <cell r="A186" t="str">
            <v>NA3370</v>
          </cell>
          <cell r="B186" t="str">
            <v>87246--BZ490-K</v>
          </cell>
        </row>
        <row r="187">
          <cell r="A187" t="str">
            <v>TA1040</v>
          </cell>
          <cell r="B187" t="str">
            <v>16281-0C010</v>
          </cell>
        </row>
        <row r="188">
          <cell r="A188" t="str">
            <v>TA1050</v>
          </cell>
          <cell r="B188" t="str">
            <v>16282-0C010</v>
          </cell>
        </row>
        <row r="189">
          <cell r="A189" t="str">
            <v>TA2750</v>
          </cell>
          <cell r="B189" t="e">
            <v>#N/A</v>
          </cell>
        </row>
        <row r="190">
          <cell r="A190" t="str">
            <v>TA2770</v>
          </cell>
          <cell r="B190" t="e">
            <v>#N/A</v>
          </cell>
        </row>
        <row r="191">
          <cell r="A191" t="str">
            <v>TA2830</v>
          </cell>
          <cell r="B191" t="e">
            <v>#N/A</v>
          </cell>
        </row>
        <row r="192">
          <cell r="A192" t="str">
            <v>TA2840</v>
          </cell>
          <cell r="B192" t="e">
            <v>#N/A</v>
          </cell>
        </row>
        <row r="193">
          <cell r="A193" t="str">
            <v>TA2850</v>
          </cell>
          <cell r="B193" t="e">
            <v>#N/A</v>
          </cell>
        </row>
        <row r="194">
          <cell r="A194" t="str">
            <v>TA2860</v>
          </cell>
          <cell r="B194" t="e">
            <v>#N/A</v>
          </cell>
        </row>
        <row r="195">
          <cell r="A195" t="str">
            <v>TA2870</v>
          </cell>
          <cell r="B195" t="e">
            <v>#N/A</v>
          </cell>
        </row>
        <row r="196">
          <cell r="A196" t="str">
            <v>TA2880</v>
          </cell>
          <cell r="B196" t="e">
            <v>#N/A</v>
          </cell>
        </row>
        <row r="197">
          <cell r="A197" t="str">
            <v>NA2770</v>
          </cell>
          <cell r="B197" t="str">
            <v>16261-BZ600-J</v>
          </cell>
        </row>
        <row r="198">
          <cell r="A198" t="str">
            <v>NA2980</v>
          </cell>
          <cell r="B198" t="str">
            <v>87246-BZ350-H</v>
          </cell>
        </row>
        <row r="199">
          <cell r="A199" t="str">
            <v>TA1771</v>
          </cell>
          <cell r="B199" t="str">
            <v>16260-0Y080-1</v>
          </cell>
        </row>
        <row r="200">
          <cell r="A200" t="str">
            <v>TA1772</v>
          </cell>
          <cell r="B200" t="str">
            <v>16260-0Y080-2</v>
          </cell>
        </row>
        <row r="201">
          <cell r="A201" t="str">
            <v>TA1330</v>
          </cell>
          <cell r="B201" t="str">
            <v>16261-0L091</v>
          </cell>
        </row>
        <row r="202">
          <cell r="A202" t="str">
            <v>TA1680</v>
          </cell>
          <cell r="B202" t="str">
            <v>16264-0Y080</v>
          </cell>
        </row>
        <row r="203">
          <cell r="A203" t="str">
            <v>TA1690</v>
          </cell>
          <cell r="B203" t="str">
            <v>16267-0Y030</v>
          </cell>
        </row>
        <row r="204">
          <cell r="A204" t="str">
            <v>NA3340</v>
          </cell>
          <cell r="B204" t="str">
            <v>12263-BZ010</v>
          </cell>
        </row>
        <row r="205">
          <cell r="A205" t="str">
            <v>NA1450</v>
          </cell>
          <cell r="B205" t="str">
            <v>16572-BZ220</v>
          </cell>
        </row>
        <row r="206">
          <cell r="A206" t="str">
            <v>NA1860</v>
          </cell>
          <cell r="B206" t="str">
            <v>16571-BZ390</v>
          </cell>
        </row>
        <row r="207">
          <cell r="A207" t="str">
            <v>TA1790</v>
          </cell>
          <cell r="B207" t="e">
            <v>#N/A</v>
          </cell>
        </row>
        <row r="208">
          <cell r="A208" t="str">
            <v>TA3000</v>
          </cell>
          <cell r="B208" t="str">
            <v>16572-BZ460-H</v>
          </cell>
        </row>
        <row r="209">
          <cell r="A209" t="str">
            <v>TA3000</v>
          </cell>
          <cell r="B209" t="str">
            <v>16572-BZ460-H</v>
          </cell>
        </row>
        <row r="210">
          <cell r="A210" t="str">
            <v>TA3010</v>
          </cell>
          <cell r="B210" t="str">
            <v>16571-BZ520-H</v>
          </cell>
        </row>
        <row r="211">
          <cell r="A211" t="str">
            <v>TA3050</v>
          </cell>
          <cell r="B211" t="str">
            <v>16572-BZ490</v>
          </cell>
        </row>
        <row r="212">
          <cell r="A212" t="str">
            <v>TA3060</v>
          </cell>
          <cell r="B212" t="str">
            <v>16571-BZ560-H</v>
          </cell>
        </row>
        <row r="213">
          <cell r="A213" t="str">
            <v>NA3080</v>
          </cell>
          <cell r="B213" t="str">
            <v>16572-BZ420-H</v>
          </cell>
        </row>
        <row r="214">
          <cell r="A214" t="str">
            <v>NA3110</v>
          </cell>
          <cell r="B214" t="str">
            <v>87245-BZ30-H</v>
          </cell>
        </row>
        <row r="215">
          <cell r="A215" t="str">
            <v>NA1840</v>
          </cell>
          <cell r="B215" t="str">
            <v>16261-BZ550</v>
          </cell>
        </row>
        <row r="216">
          <cell r="A216" t="str">
            <v>NA2720</v>
          </cell>
          <cell r="B216" t="str">
            <v>16267-BZ210-H</v>
          </cell>
        </row>
        <row r="217">
          <cell r="A217" t="str">
            <v>NA3330</v>
          </cell>
          <cell r="B217" t="str">
            <v>16280-BZ080</v>
          </cell>
        </row>
        <row r="218">
          <cell r="A218" t="str">
            <v>NA1850</v>
          </cell>
          <cell r="B218" t="str">
            <v>16281-BZ070</v>
          </cell>
        </row>
        <row r="219">
          <cell r="A219" t="str">
            <v>PM1430</v>
          </cell>
          <cell r="B219">
            <v>8982356362</v>
          </cell>
        </row>
        <row r="220">
          <cell r="A220" t="str">
            <v>PM1270</v>
          </cell>
          <cell r="B220">
            <v>8976560150</v>
          </cell>
        </row>
        <row r="221">
          <cell r="A221" t="str">
            <v>PM1230</v>
          </cell>
          <cell r="B221">
            <v>8982058730</v>
          </cell>
        </row>
        <row r="222">
          <cell r="A222" t="str">
            <v>PM1280</v>
          </cell>
          <cell r="B222">
            <v>8976560180</v>
          </cell>
        </row>
        <row r="223">
          <cell r="A223" t="str">
            <v>PM1220</v>
          </cell>
          <cell r="B223">
            <v>8982058730</v>
          </cell>
        </row>
        <row r="224">
          <cell r="A224" t="str">
            <v>TA1490</v>
          </cell>
          <cell r="B224" t="e">
            <v>#N/A</v>
          </cell>
        </row>
        <row r="225">
          <cell r="A225" t="str">
            <v>NA2031</v>
          </cell>
          <cell r="B225" t="str">
            <v>23826-BZ020-H</v>
          </cell>
        </row>
        <row r="226">
          <cell r="A226" t="str">
            <v>NA2700</v>
          </cell>
          <cell r="B226" t="str">
            <v>44726-BZ020-H</v>
          </cell>
        </row>
        <row r="227">
          <cell r="A227" t="str">
            <v>NA2810</v>
          </cell>
          <cell r="B227" t="str">
            <v>44726-BZ010-H</v>
          </cell>
        </row>
        <row r="228">
          <cell r="A228" t="str">
            <v>NA2990</v>
          </cell>
          <cell r="B228" t="str">
            <v>17341-BZ040-H</v>
          </cell>
        </row>
        <row r="229">
          <cell r="A229" t="str">
            <v>TA0804</v>
          </cell>
          <cell r="B229" t="str">
            <v>17431-0C110</v>
          </cell>
        </row>
        <row r="230">
          <cell r="A230" t="str">
            <v>TA0811</v>
          </cell>
          <cell r="B230" t="str">
            <v>17431-0C120</v>
          </cell>
        </row>
        <row r="231">
          <cell r="A231" t="str">
            <v>TA121A</v>
          </cell>
          <cell r="B231" t="str">
            <v>17341-0C160</v>
          </cell>
        </row>
        <row r="232">
          <cell r="A232" t="str">
            <v>TA136A</v>
          </cell>
          <cell r="B232" t="str">
            <v>17341-0C160</v>
          </cell>
        </row>
        <row r="233">
          <cell r="A233" t="str">
            <v>TA148A</v>
          </cell>
          <cell r="B233" t="str">
            <v>17341-0C170</v>
          </cell>
        </row>
        <row r="234">
          <cell r="A234" t="str">
            <v>TA1551</v>
          </cell>
          <cell r="B234" t="str">
            <v>17342-0C100</v>
          </cell>
        </row>
        <row r="235">
          <cell r="A235" t="str">
            <v>TA1561</v>
          </cell>
          <cell r="B235" t="str">
            <v>17342-0C090</v>
          </cell>
        </row>
        <row r="236">
          <cell r="A236" t="str">
            <v>TA1800</v>
          </cell>
          <cell r="B236" t="str">
            <v>17341-0V010</v>
          </cell>
        </row>
        <row r="237">
          <cell r="A237" t="str">
            <v>TA1810</v>
          </cell>
          <cell r="B237" t="str">
            <v>17342-0Y010</v>
          </cell>
        </row>
        <row r="238">
          <cell r="A238" t="str">
            <v>TA1980</v>
          </cell>
          <cell r="B238" t="str">
            <v>17341-0Y080</v>
          </cell>
        </row>
        <row r="239">
          <cell r="A239" t="str">
            <v>TA198A</v>
          </cell>
          <cell r="B239" t="str">
            <v>17341-0Y081</v>
          </cell>
        </row>
        <row r="240">
          <cell r="A240" t="str">
            <v>TA199A</v>
          </cell>
          <cell r="B240" t="str">
            <v>17343-0Y021</v>
          </cell>
        </row>
        <row r="241">
          <cell r="A241" t="str">
            <v>TA2005</v>
          </cell>
          <cell r="B241" t="str">
            <v>17342-0Y090</v>
          </cell>
        </row>
        <row r="242">
          <cell r="A242" t="str">
            <v>TA2950</v>
          </cell>
          <cell r="B242" t="e">
            <v>#N/A</v>
          </cell>
        </row>
        <row r="243">
          <cell r="A243" t="str">
            <v>TA1371</v>
          </cell>
          <cell r="B243" t="str">
            <v>23273-0C130(1)</v>
          </cell>
        </row>
        <row r="244">
          <cell r="A244" t="str">
            <v>TA1372</v>
          </cell>
          <cell r="B244" t="str">
            <v>23273-0C130(2)</v>
          </cell>
        </row>
        <row r="245">
          <cell r="A245" t="str">
            <v>TA1731</v>
          </cell>
          <cell r="B245" t="str">
            <v>23274-0C100</v>
          </cell>
        </row>
        <row r="246">
          <cell r="A246" t="str">
            <v>TA1742</v>
          </cell>
          <cell r="B246" t="str">
            <v>23274-0L060</v>
          </cell>
        </row>
        <row r="247">
          <cell r="A247" t="str">
            <v>TA1941</v>
          </cell>
          <cell r="B247" t="str">
            <v>23273-0L200 (1)</v>
          </cell>
        </row>
        <row r="248">
          <cell r="A248" t="str">
            <v>TA1942</v>
          </cell>
          <cell r="B248" t="str">
            <v>23273-0L200 (2)</v>
          </cell>
        </row>
        <row r="249">
          <cell r="A249" t="str">
            <v>TA1950</v>
          </cell>
          <cell r="B249" t="str">
            <v>23273-0L120</v>
          </cell>
        </row>
        <row r="250">
          <cell r="A250" t="str">
            <v>TA2521</v>
          </cell>
          <cell r="B250" t="str">
            <v>23273-0L132-A(1)</v>
          </cell>
        </row>
        <row r="251">
          <cell r="A251" t="str">
            <v>TA2522</v>
          </cell>
          <cell r="B251" t="str">
            <v>23273-0L132-A(2)</v>
          </cell>
        </row>
        <row r="252">
          <cell r="A252" t="str">
            <v>TA2532</v>
          </cell>
          <cell r="B252" t="str">
            <v>23274-0L071</v>
          </cell>
        </row>
        <row r="253">
          <cell r="A253" t="str">
            <v>TA2541</v>
          </cell>
          <cell r="B253" t="str">
            <v>23273-0L191 (1)</v>
          </cell>
        </row>
        <row r="254">
          <cell r="A254" t="str">
            <v>TA2542</v>
          </cell>
          <cell r="B254" t="str">
            <v>23273-0L191 (2)</v>
          </cell>
        </row>
        <row r="255">
          <cell r="A255" t="str">
            <v>TA2551</v>
          </cell>
          <cell r="B255" t="str">
            <v>23273-0L221 (1)</v>
          </cell>
        </row>
        <row r="256">
          <cell r="A256" t="str">
            <v>TA2552</v>
          </cell>
          <cell r="B256" t="str">
            <v>23273-0L221 (2)</v>
          </cell>
        </row>
        <row r="257">
          <cell r="A257" t="str">
            <v>TA1380</v>
          </cell>
          <cell r="B257" t="str">
            <v>23271-0C120</v>
          </cell>
        </row>
        <row r="258">
          <cell r="A258" t="str">
            <v>HN0140</v>
          </cell>
          <cell r="B258" t="str">
            <v>23273-0W020</v>
          </cell>
        </row>
        <row r="259">
          <cell r="A259" t="str">
            <v>HN0220</v>
          </cell>
          <cell r="B259" t="str">
            <v>77279-0W020</v>
          </cell>
        </row>
        <row r="260">
          <cell r="A260" t="str">
            <v>HN0230</v>
          </cell>
          <cell r="B260" t="str">
            <v>77279-0W030</v>
          </cell>
        </row>
        <row r="261">
          <cell r="A261" t="str">
            <v>TA0801</v>
          </cell>
          <cell r="B261" t="str">
            <v>44771-KK050</v>
          </cell>
        </row>
        <row r="262">
          <cell r="A262" t="str">
            <v>TA0802</v>
          </cell>
          <cell r="B262" t="str">
            <v>44771-KK060</v>
          </cell>
        </row>
        <row r="263">
          <cell r="A263" t="str">
            <v>TA0803</v>
          </cell>
          <cell r="B263" t="str">
            <v>44772-KK100</v>
          </cell>
        </row>
        <row r="264">
          <cell r="A264" t="str">
            <v>TA0812</v>
          </cell>
          <cell r="B264" t="str">
            <v>44771-KK020</v>
          </cell>
        </row>
        <row r="265">
          <cell r="A265" t="str">
            <v>TA0813</v>
          </cell>
          <cell r="B265" t="str">
            <v>44771-KK030</v>
          </cell>
        </row>
        <row r="266">
          <cell r="A266" t="str">
            <v>TA1070</v>
          </cell>
          <cell r="B266" t="str">
            <v>44772-KK110</v>
          </cell>
        </row>
        <row r="267">
          <cell r="A267" t="str">
            <v>TA1130</v>
          </cell>
          <cell r="B267" t="str">
            <v>44774-KK050</v>
          </cell>
        </row>
        <row r="268">
          <cell r="A268" t="str">
            <v>TA1150</v>
          </cell>
          <cell r="B268" t="str">
            <v>44772-KK090</v>
          </cell>
        </row>
        <row r="269">
          <cell r="A269" t="str">
            <v>TA1170</v>
          </cell>
          <cell r="B269" t="str">
            <v>44774-KK090</v>
          </cell>
        </row>
        <row r="270">
          <cell r="A270" t="str">
            <v>TA1190</v>
          </cell>
          <cell r="B270" t="str">
            <v>44772-KK130</v>
          </cell>
        </row>
        <row r="271">
          <cell r="A271" t="str">
            <v>TA1240</v>
          </cell>
          <cell r="B271" t="str">
            <v>44772-KK070</v>
          </cell>
        </row>
        <row r="272">
          <cell r="A272" t="str">
            <v>TA1250</v>
          </cell>
          <cell r="B272" t="str">
            <v>44772-KK010</v>
          </cell>
        </row>
        <row r="273">
          <cell r="A273" t="str">
            <v>TA1410</v>
          </cell>
          <cell r="B273" t="str">
            <v>44774-KK020</v>
          </cell>
        </row>
        <row r="274">
          <cell r="A274" t="str">
            <v>TA1552</v>
          </cell>
          <cell r="B274" t="str">
            <v>44772-KK040</v>
          </cell>
        </row>
        <row r="275">
          <cell r="A275" t="str">
            <v>TA1553</v>
          </cell>
          <cell r="B275" t="str">
            <v>44772-KK020</v>
          </cell>
        </row>
        <row r="276">
          <cell r="A276" t="str">
            <v>TA1554</v>
          </cell>
          <cell r="B276" t="str">
            <v>44772-KK030</v>
          </cell>
        </row>
        <row r="277">
          <cell r="A277" t="str">
            <v>TA1562</v>
          </cell>
          <cell r="B277" t="str">
            <v>44771-KK070</v>
          </cell>
        </row>
        <row r="278">
          <cell r="A278" t="str">
            <v>TA1563</v>
          </cell>
          <cell r="B278" t="str">
            <v>44772-KK020</v>
          </cell>
        </row>
        <row r="279">
          <cell r="A279" t="str">
            <v>TA1564</v>
          </cell>
          <cell r="B279" t="str">
            <v>44772-KK030</v>
          </cell>
        </row>
        <row r="280">
          <cell r="A280" t="str">
            <v>TA1610</v>
          </cell>
          <cell r="B280" t="str">
            <v>44772-KK120</v>
          </cell>
        </row>
        <row r="281">
          <cell r="A281" t="str">
            <v>TA1620</v>
          </cell>
          <cell r="B281" t="str">
            <v>44773-KK020</v>
          </cell>
        </row>
        <row r="282">
          <cell r="A282" t="str">
            <v>TA1630</v>
          </cell>
          <cell r="B282" t="str">
            <v>44774-0K020</v>
          </cell>
        </row>
        <row r="283">
          <cell r="A283" t="str">
            <v>TA1650</v>
          </cell>
          <cell r="B283" t="str">
            <v>44776-KK020</v>
          </cell>
        </row>
        <row r="284">
          <cell r="A284" t="str">
            <v>TA1640</v>
          </cell>
          <cell r="B284" t="str">
            <v>44774-KK010</v>
          </cell>
        </row>
        <row r="285">
          <cell r="A285" t="str">
            <v>TA2001</v>
          </cell>
          <cell r="B285" t="str">
            <v>44772-0D470</v>
          </cell>
        </row>
        <row r="286">
          <cell r="A286" t="str">
            <v>TA2002</v>
          </cell>
          <cell r="B286" t="str">
            <v>44772-0D480</v>
          </cell>
        </row>
        <row r="287">
          <cell r="A287" t="str">
            <v>TA2003</v>
          </cell>
          <cell r="B287" t="str">
            <v>44771-0D230</v>
          </cell>
        </row>
        <row r="288">
          <cell r="A288" t="str">
            <v>TA2004</v>
          </cell>
          <cell r="B288" t="str">
            <v>44771-0D220</v>
          </cell>
        </row>
        <row r="289">
          <cell r="A289" t="str">
            <v>TA2005</v>
          </cell>
          <cell r="B289" t="str">
            <v>17342-0Y090</v>
          </cell>
        </row>
        <row r="290">
          <cell r="A290" t="str">
            <v>TA2010</v>
          </cell>
          <cell r="B290" t="str">
            <v>44772-0D460</v>
          </cell>
        </row>
        <row r="291">
          <cell r="A291" t="str">
            <v>TA2020</v>
          </cell>
          <cell r="B291" t="str">
            <v>44770-0D170</v>
          </cell>
        </row>
        <row r="292">
          <cell r="A292" t="str">
            <v>TA2030</v>
          </cell>
          <cell r="B292" t="str">
            <v>44770-0D180</v>
          </cell>
        </row>
        <row r="293">
          <cell r="A293" t="str">
            <v>TA2721</v>
          </cell>
          <cell r="B293" t="str">
            <v>44772-VT010</v>
          </cell>
        </row>
        <row r="294">
          <cell r="A294" t="str">
            <v>TA2722</v>
          </cell>
          <cell r="B294" t="str">
            <v>44774-VT010</v>
          </cell>
        </row>
        <row r="295">
          <cell r="A295" t="str">
            <v>TA2730</v>
          </cell>
          <cell r="B295" t="str">
            <v>44774-VT020</v>
          </cell>
        </row>
        <row r="296">
          <cell r="A296" t="str">
            <v>TA1541</v>
          </cell>
          <cell r="B296" t="str">
            <v>44774-KK070</v>
          </cell>
        </row>
        <row r="297">
          <cell r="A297" t="str">
            <v>TA1542</v>
          </cell>
          <cell r="B297" t="str">
            <v>44773-KK030</v>
          </cell>
        </row>
        <row r="298">
          <cell r="A298" t="str">
            <v>TA1571</v>
          </cell>
          <cell r="B298" t="str">
            <v>44774-KK040</v>
          </cell>
        </row>
        <row r="299">
          <cell r="A299" t="str">
            <v>TA1572</v>
          </cell>
          <cell r="B299" t="str">
            <v>44773-KK030</v>
          </cell>
        </row>
        <row r="300">
          <cell r="A300" t="str">
            <v>TA1581</v>
          </cell>
          <cell r="B300" t="str">
            <v>44774-KK080</v>
          </cell>
        </row>
        <row r="301">
          <cell r="A301" t="str">
            <v>TA1582</v>
          </cell>
          <cell r="B301" t="str">
            <v>44773-KK030</v>
          </cell>
        </row>
        <row r="302">
          <cell r="A302" t="str">
            <v>TA1600</v>
          </cell>
          <cell r="B302" t="str">
            <v>44772-KK080</v>
          </cell>
        </row>
        <row r="303">
          <cell r="A303" t="str">
            <v>HN0150</v>
          </cell>
          <cell r="B303" t="str">
            <v>44776-0W020</v>
          </cell>
        </row>
        <row r="304">
          <cell r="A304" t="str">
            <v>HN0160</v>
          </cell>
          <cell r="B304" t="str">
            <v>44776-0W030</v>
          </cell>
        </row>
        <row r="305">
          <cell r="A305" t="str">
            <v>HN0170</v>
          </cell>
          <cell r="B305" t="str">
            <v>44778-0W030</v>
          </cell>
        </row>
        <row r="306">
          <cell r="A306" t="str">
            <v>HN0240</v>
          </cell>
          <cell r="B306" t="str">
            <v>44773-0W030</v>
          </cell>
        </row>
        <row r="307">
          <cell r="A307" t="str">
            <v>TA1090</v>
          </cell>
          <cell r="B307" t="str">
            <v>23271-0C140</v>
          </cell>
        </row>
        <row r="308">
          <cell r="A308" t="str">
            <v>TA1732</v>
          </cell>
          <cell r="B308" t="str">
            <v>77259-KK060(1)</v>
          </cell>
        </row>
        <row r="309">
          <cell r="A309" t="str">
            <v>TA1733</v>
          </cell>
          <cell r="B309" t="str">
            <v>77259-KK060(2)</v>
          </cell>
        </row>
        <row r="310">
          <cell r="A310" t="str">
            <v>TA1741</v>
          </cell>
          <cell r="B310" t="str">
            <v>77259-KK040</v>
          </cell>
        </row>
        <row r="311">
          <cell r="A311" t="str">
            <v>TA2531</v>
          </cell>
          <cell r="B311" t="str">
            <v>77259-KK010</v>
          </cell>
        </row>
        <row r="312">
          <cell r="A312" t="str">
            <v>TA2580</v>
          </cell>
          <cell r="B312" t="str">
            <v>23271-0E041</v>
          </cell>
        </row>
        <row r="313">
          <cell r="A313" t="str">
            <v>HN0180</v>
          </cell>
          <cell r="B313" t="str">
            <v>77259-0W030</v>
          </cell>
        </row>
        <row r="314">
          <cell r="A314" t="str">
            <v>HN0190</v>
          </cell>
          <cell r="B314" t="str">
            <v>77259-0W040</v>
          </cell>
        </row>
        <row r="315">
          <cell r="A315" t="str">
            <v>HN0200</v>
          </cell>
          <cell r="B315" t="str">
            <v>77259-0W050</v>
          </cell>
        </row>
        <row r="316">
          <cell r="A316" t="str">
            <v>HN0210</v>
          </cell>
          <cell r="B316" t="str">
            <v>77259-0W060</v>
          </cell>
        </row>
        <row r="317">
          <cell r="A317" t="str">
            <v>HN0580</v>
          </cell>
          <cell r="B317" t="str">
            <v>77259-E0190</v>
          </cell>
        </row>
        <row r="318">
          <cell r="A318" t="str">
            <v>PM1041</v>
          </cell>
          <cell r="B318" t="str">
            <v>89823-94260</v>
          </cell>
        </row>
        <row r="319">
          <cell r="A319" t="str">
            <v>PM105A</v>
          </cell>
          <cell r="B319" t="str">
            <v>89381-03491</v>
          </cell>
        </row>
        <row r="320">
          <cell r="A320" t="str">
            <v>PM1140</v>
          </cell>
          <cell r="B320">
            <v>8975177101</v>
          </cell>
        </row>
        <row r="321">
          <cell r="A321" t="str">
            <v>PM1160</v>
          </cell>
          <cell r="B321">
            <v>8975480410</v>
          </cell>
        </row>
        <row r="322">
          <cell r="A322" t="str">
            <v>PM1170</v>
          </cell>
          <cell r="B322">
            <v>8975177091</v>
          </cell>
        </row>
        <row r="323">
          <cell r="A323" t="str">
            <v>PM1180</v>
          </cell>
          <cell r="B323">
            <v>8976639890</v>
          </cell>
        </row>
        <row r="324">
          <cell r="A324" t="str">
            <v>PM1200</v>
          </cell>
          <cell r="B324">
            <v>8983530511</v>
          </cell>
        </row>
        <row r="325">
          <cell r="A325" t="str">
            <v>PM1210</v>
          </cell>
          <cell r="B325">
            <v>8983530501</v>
          </cell>
        </row>
        <row r="326">
          <cell r="A326" t="str">
            <v>PM1250</v>
          </cell>
          <cell r="B326">
            <v>8983095300</v>
          </cell>
        </row>
        <row r="327">
          <cell r="A327" t="str">
            <v>PM1290</v>
          </cell>
          <cell r="B327" t="str">
            <v>P001691350</v>
          </cell>
        </row>
        <row r="328">
          <cell r="A328" t="str">
            <v>PM1310</v>
          </cell>
          <cell r="B328" t="str">
            <v>P566002410</v>
          </cell>
        </row>
        <row r="329">
          <cell r="A329" t="str">
            <v>PM1370</v>
          </cell>
          <cell r="B329" t="str">
            <v>0018093600</v>
          </cell>
        </row>
        <row r="330">
          <cell r="A330" t="str">
            <v>PM1420</v>
          </cell>
          <cell r="B330" t="str">
            <v>P566002390</v>
          </cell>
        </row>
        <row r="331">
          <cell r="A331" t="str">
            <v>PM1450</v>
          </cell>
          <cell r="B331" t="str">
            <v>P566002380</v>
          </cell>
        </row>
        <row r="332">
          <cell r="A332" t="str">
            <v>PM1480</v>
          </cell>
          <cell r="B332" t="str">
            <v>'0018097300</v>
          </cell>
        </row>
        <row r="333">
          <cell r="A333" t="str">
            <v>PM1470</v>
          </cell>
          <cell r="B333" t="str">
            <v>P566003040</v>
          </cell>
        </row>
        <row r="334">
          <cell r="A334" t="str">
            <v>PM1490</v>
          </cell>
          <cell r="B334" t="str">
            <v>P566003050</v>
          </cell>
        </row>
        <row r="335">
          <cell r="A335" t="str">
            <v>PM1500</v>
          </cell>
          <cell r="B335">
            <v>18122800</v>
          </cell>
        </row>
        <row r="336">
          <cell r="A336" t="str">
            <v>PM1042</v>
          </cell>
          <cell r="B336" t="str">
            <v>89823-94270</v>
          </cell>
        </row>
        <row r="337">
          <cell r="A337" t="str">
            <v>PM1150</v>
          </cell>
          <cell r="B337" t="str">
            <v>'0018052200</v>
          </cell>
        </row>
        <row r="338">
          <cell r="A338" t="str">
            <v>PM1190</v>
          </cell>
          <cell r="B338">
            <v>8976639900</v>
          </cell>
        </row>
        <row r="339">
          <cell r="A339" t="str">
            <v>PM1260</v>
          </cell>
          <cell r="B339" t="str">
            <v>0018053200</v>
          </cell>
        </row>
        <row r="340">
          <cell r="A340" t="str">
            <v>PM1300</v>
          </cell>
          <cell r="B340" t="str">
            <v>P001069600</v>
          </cell>
        </row>
        <row r="341">
          <cell r="A341" t="str">
            <v>PM1320</v>
          </cell>
          <cell r="B341" t="str">
            <v>P566002400</v>
          </cell>
        </row>
        <row r="342">
          <cell r="A342" t="str">
            <v>PM1410</v>
          </cell>
          <cell r="B342" t="str">
            <v>P566002420</v>
          </cell>
        </row>
        <row r="343">
          <cell r="A343" t="str">
            <v>PM1440</v>
          </cell>
          <cell r="B343">
            <v>7474940060</v>
          </cell>
        </row>
        <row r="344">
          <cell r="A344" t="str">
            <v>MS0230</v>
          </cell>
          <cell r="B344" t="str">
            <v>A4300781202</v>
          </cell>
        </row>
        <row r="345">
          <cell r="A345" t="str">
            <v>TA1090</v>
          </cell>
          <cell r="B345" t="str">
            <v>23271-0C140</v>
          </cell>
        </row>
        <row r="346">
          <cell r="A346" t="str">
            <v>TA1732</v>
          </cell>
          <cell r="B346" t="str">
            <v>77259-KK060(1)</v>
          </cell>
        </row>
        <row r="347">
          <cell r="A347" t="str">
            <v>TA1733</v>
          </cell>
          <cell r="B347" t="str">
            <v>77259-KK060(2)</v>
          </cell>
        </row>
        <row r="348">
          <cell r="A348" t="str">
            <v>TA1741</v>
          </cell>
          <cell r="B348" t="str">
            <v>77259-KK040</v>
          </cell>
        </row>
        <row r="349">
          <cell r="A349" t="str">
            <v>TA2531</v>
          </cell>
          <cell r="B349" t="str">
            <v>77259-KK010</v>
          </cell>
        </row>
        <row r="350">
          <cell r="A350" t="str">
            <v>TA2580</v>
          </cell>
          <cell r="B350" t="str">
            <v>23271-0E041</v>
          </cell>
        </row>
        <row r="351">
          <cell r="A351" t="str">
            <v>PM1240</v>
          </cell>
          <cell r="B351">
            <v>8983363550</v>
          </cell>
        </row>
        <row r="352">
          <cell r="A352" t="str">
            <v>PM1090</v>
          </cell>
          <cell r="B352">
            <v>8982591170</v>
          </cell>
        </row>
        <row r="353">
          <cell r="A353" t="str">
            <v>PM1130</v>
          </cell>
          <cell r="B353" t="str">
            <v>0098093800</v>
          </cell>
        </row>
        <row r="354">
          <cell r="A354" t="str">
            <v>NA2032</v>
          </cell>
          <cell r="B354" t="str">
            <v>23827-BZ140-H</v>
          </cell>
        </row>
        <row r="355">
          <cell r="A355" t="str">
            <v>TA2970</v>
          </cell>
          <cell r="B355" t="str">
            <v>G1271-907WL</v>
          </cell>
        </row>
        <row r="356">
          <cell r="A356" t="str">
            <v>TA2980</v>
          </cell>
          <cell r="B356" t="str">
            <v>G1272-907WL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5DD7-6D36-4788-A97D-77DE67A7102E}">
  <sheetPr>
    <pageSetUpPr fitToPage="1"/>
  </sheetPr>
  <dimension ref="A1:Z365"/>
  <sheetViews>
    <sheetView tabSelected="1" zoomScale="85" zoomScaleNormal="85" workbookViewId="0">
      <pane xSplit="1" ySplit="1" topLeftCell="K335" activePane="bottomRight" state="frozen"/>
      <selection pane="topRight" activeCell="B1" sqref="B1"/>
      <selection pane="bottomLeft" activeCell="A2" sqref="A2"/>
      <selection pane="bottomRight" activeCell="T348" sqref="T348"/>
    </sheetView>
  </sheetViews>
  <sheetFormatPr defaultRowHeight="13.2" x14ac:dyDescent="0.25"/>
  <cols>
    <col min="1" max="1" width="10.77734375" style="19" customWidth="1"/>
    <col min="2" max="2" width="17" style="19" bestFit="1" customWidth="1"/>
    <col min="3" max="3" width="45.6640625" style="19" bestFit="1" customWidth="1"/>
    <col min="4" max="4" width="11.5546875" style="19" customWidth="1"/>
    <col min="5" max="5" width="15" style="19" bestFit="1" customWidth="1"/>
    <col min="6" max="6" width="11.5546875" style="19" customWidth="1"/>
    <col min="7" max="7" width="15" style="19" bestFit="1" customWidth="1"/>
    <col min="8" max="8" width="11.5546875" style="19" customWidth="1"/>
    <col min="9" max="9" width="15" style="18" bestFit="1" customWidth="1"/>
    <col min="10" max="10" width="15" style="18" customWidth="1"/>
    <col min="11" max="11" width="23.109375" style="20" customWidth="1"/>
    <col min="12" max="12" width="10.5546875" style="18" bestFit="1" customWidth="1"/>
    <col min="13" max="13" width="17.6640625" style="18" bestFit="1" customWidth="1"/>
    <col min="14" max="14" width="13.33203125" style="18" bestFit="1" customWidth="1"/>
    <col min="15" max="15" width="15.5546875" style="12" bestFit="1" customWidth="1"/>
    <col min="16" max="16" width="17.44140625" style="12" bestFit="1" customWidth="1"/>
    <col min="17" max="17" width="14.6640625" style="12" bestFit="1" customWidth="1"/>
    <col min="18" max="18" width="12.21875" style="12" customWidth="1"/>
    <col min="19" max="19" width="13.21875" style="12" bestFit="1" customWidth="1"/>
    <col min="20" max="20" width="16.88671875" style="12" bestFit="1" customWidth="1"/>
    <col min="21" max="21" width="16.109375" style="12" bestFit="1" customWidth="1"/>
    <col min="22" max="22" width="15.5546875" style="12" bestFit="1" customWidth="1"/>
    <col min="23" max="23" width="13.44140625" style="12" bestFit="1" customWidth="1"/>
    <col min="24" max="24" width="16.5546875" style="12" bestFit="1" customWidth="1"/>
    <col min="25" max="25" width="27.44140625" style="12" customWidth="1"/>
    <col min="26" max="26" width="8.88671875" style="21"/>
    <col min="27" max="16384" width="8.88671875" style="12"/>
  </cols>
  <sheetData>
    <row r="1" spans="1:25" ht="30" customHeight="1" x14ac:dyDescent="0.25">
      <c r="A1" s="9" t="s">
        <v>881</v>
      </c>
      <c r="B1" s="9" t="s">
        <v>1219</v>
      </c>
      <c r="C1" s="9" t="s">
        <v>1</v>
      </c>
      <c r="D1" s="9" t="s">
        <v>1260</v>
      </c>
      <c r="E1" s="9" t="s">
        <v>6</v>
      </c>
      <c r="F1" s="9" t="s">
        <v>1261</v>
      </c>
      <c r="G1" s="9" t="s">
        <v>6</v>
      </c>
      <c r="H1" s="9" t="s">
        <v>1262</v>
      </c>
      <c r="I1" s="9" t="s">
        <v>6</v>
      </c>
      <c r="J1" s="23" t="s">
        <v>1317</v>
      </c>
      <c r="K1" s="9" t="s">
        <v>9</v>
      </c>
      <c r="L1" s="9" t="s">
        <v>6</v>
      </c>
      <c r="M1" s="10" t="s">
        <v>1270</v>
      </c>
      <c r="N1" s="11" t="s">
        <v>882</v>
      </c>
      <c r="O1" s="11" t="s">
        <v>1271</v>
      </c>
      <c r="P1" s="11" t="s">
        <v>1272</v>
      </c>
      <c r="Q1" s="11" t="s">
        <v>883</v>
      </c>
      <c r="R1" s="11" t="s">
        <v>884</v>
      </c>
      <c r="S1" s="11" t="s">
        <v>885</v>
      </c>
      <c r="T1" s="11" t="s">
        <v>886</v>
      </c>
      <c r="U1" s="11" t="s">
        <v>1269</v>
      </c>
      <c r="V1" s="11" t="s">
        <v>887</v>
      </c>
      <c r="W1" s="11" t="s">
        <v>888</v>
      </c>
      <c r="X1" s="11" t="s">
        <v>889</v>
      </c>
      <c r="Y1" s="11" t="s">
        <v>1273</v>
      </c>
    </row>
    <row r="2" spans="1:25" s="18" customFormat="1" x14ac:dyDescent="0.25">
      <c r="A2" s="13" t="s">
        <v>1009</v>
      </c>
      <c r="B2" s="14">
        <f>VLOOKUP(A2,[1]Sheet1!$A$2:$F$379,2,0)</f>
        <v>0</v>
      </c>
      <c r="C2" s="14" t="s">
        <v>364</v>
      </c>
      <c r="D2" s="14" t="s">
        <v>1253</v>
      </c>
      <c r="E2" s="15">
        <v>38.450000000000003</v>
      </c>
      <c r="F2" s="14" t="s">
        <v>1254</v>
      </c>
      <c r="G2" s="15">
        <v>16.7</v>
      </c>
      <c r="H2" s="14"/>
      <c r="I2" s="14"/>
      <c r="J2" s="15">
        <f>E2+G2+I2</f>
        <v>55.150000000000006</v>
      </c>
      <c r="K2" s="14"/>
      <c r="L2" s="14"/>
      <c r="M2" s="15">
        <f t="shared" ref="M2:M65" si="0">SUM(L2,I2,G2,E2)</f>
        <v>55.150000000000006</v>
      </c>
      <c r="N2" s="14" t="str">
        <f>VLOOKUP(A2,[2]Sheet1!$B$4:$F$352,3,0)</f>
        <v>DL1</v>
      </c>
      <c r="O2" s="16">
        <f>VLOOKUP(A2,[2]Sheet1!$B$4:$F$352,4,0)</f>
        <v>0</v>
      </c>
      <c r="P2" s="16"/>
      <c r="Q2" s="16">
        <f>VLOOKUP(A2,[2]Sheet1!$B$4:$F$352,4,0)</f>
        <v>0</v>
      </c>
      <c r="R2" s="17">
        <f>VLOOKUP(A2,[1]Sheet1!$A$2:$F$379,3,0)</f>
        <v>5.3</v>
      </c>
      <c r="S2" s="16">
        <f>VLOOKUP(A2,[1]Sheet1!$A$2:$F$379,4,0)</f>
        <v>10.3</v>
      </c>
      <c r="T2" s="16">
        <f>VLOOKUP(A2,[1]Sheet1!$A$2:$F$379,5,0)</f>
        <v>18000</v>
      </c>
      <c r="U2" s="16"/>
      <c r="V2" s="16"/>
      <c r="W2" s="16"/>
      <c r="X2" s="16"/>
      <c r="Y2" s="18" t="s">
        <v>1287</v>
      </c>
    </row>
    <row r="3" spans="1:25" s="18" customFormat="1" x14ac:dyDescent="0.25">
      <c r="A3" s="13" t="s">
        <v>1102</v>
      </c>
      <c r="B3" s="14" t="str">
        <f>VLOOKUP(A3,[1]Sheet1!$A$2:$F$379,2,0)</f>
        <v>23273-0W020</v>
      </c>
      <c r="C3" s="14" t="s">
        <v>607</v>
      </c>
      <c r="D3" s="14" t="s">
        <v>1242</v>
      </c>
      <c r="E3" s="15">
        <v>16.059999999999999</v>
      </c>
      <c r="F3" s="14" t="s">
        <v>1243</v>
      </c>
      <c r="G3" s="15">
        <v>20.420000000000002</v>
      </c>
      <c r="H3" s="14"/>
      <c r="I3" s="14"/>
      <c r="J3" s="15">
        <f t="shared" ref="J3:J66" si="1">E3+G3+I3</f>
        <v>36.480000000000004</v>
      </c>
      <c r="K3" s="14" t="s">
        <v>1264</v>
      </c>
      <c r="L3" s="15">
        <v>1.97</v>
      </c>
      <c r="M3" s="15">
        <f t="shared" si="0"/>
        <v>38.450000000000003</v>
      </c>
      <c r="N3" s="14" t="str">
        <f>VLOOKUP(A3,[2]Sheet1!$B$4:$F$352,3,0)</f>
        <v>CHS3L</v>
      </c>
      <c r="O3" s="16">
        <f>VLOOKUP(A3,[2]Sheet1!$B$4:$F$352,4,0)</f>
        <v>0</v>
      </c>
      <c r="P3" s="16"/>
      <c r="Q3" s="16">
        <f>VLOOKUP(A3,[2]Sheet1!$B$4:$F$352,4,0)</f>
        <v>0</v>
      </c>
      <c r="R3" s="17">
        <f>VLOOKUP(A3,[1]Sheet1!$A$2:$F$379,3,0)</f>
        <v>7.6</v>
      </c>
      <c r="S3" s="16">
        <f>VLOOKUP(A3,[1]Sheet1!$A$2:$F$379,4,0)</f>
        <v>14</v>
      </c>
      <c r="T3" s="16">
        <f>VLOOKUP(A3,[1]Sheet1!$A$2:$F$379,5,0)</f>
        <v>288</v>
      </c>
      <c r="U3" s="16"/>
      <c r="V3" s="16"/>
      <c r="W3" s="16"/>
      <c r="X3" s="16"/>
      <c r="Y3" s="18" t="s">
        <v>1287</v>
      </c>
    </row>
    <row r="4" spans="1:25" s="18" customFormat="1" x14ac:dyDescent="0.25">
      <c r="A4" s="13" t="s">
        <v>1107</v>
      </c>
      <c r="B4" s="14" t="str">
        <f>VLOOKUP(A4,[1]Sheet1!$A$2:$F$379,2,0)</f>
        <v>44776-0W020</v>
      </c>
      <c r="C4" s="14" t="s">
        <v>619</v>
      </c>
      <c r="D4" s="14" t="s">
        <v>1239</v>
      </c>
      <c r="E4" s="15">
        <v>20.39</v>
      </c>
      <c r="F4" s="14" t="s">
        <v>1240</v>
      </c>
      <c r="G4" s="15">
        <v>12.01</v>
      </c>
      <c r="H4" s="14" t="s">
        <v>1241</v>
      </c>
      <c r="I4" s="15">
        <v>43.33</v>
      </c>
      <c r="J4" s="15">
        <f t="shared" si="1"/>
        <v>75.72999999999999</v>
      </c>
      <c r="K4" s="14" t="s">
        <v>1264</v>
      </c>
      <c r="L4" s="15">
        <v>1.76</v>
      </c>
      <c r="M4" s="15">
        <f t="shared" si="0"/>
        <v>77.489999999999995</v>
      </c>
      <c r="N4" s="14" t="str">
        <f>VLOOKUP(A4,[2]Sheet1!$B$4:$F$352,3,0)</f>
        <v>CHS3L</v>
      </c>
      <c r="O4" s="16">
        <f>VLOOKUP(A4,[2]Sheet1!$B$4:$F$352,4,0)</f>
        <v>2</v>
      </c>
      <c r="P4" s="16"/>
      <c r="Q4" s="16">
        <f>VLOOKUP(A4,[2]Sheet1!$B$4:$F$352,4,0)</f>
        <v>2</v>
      </c>
      <c r="R4" s="17">
        <f>VLOOKUP(A4,[1]Sheet1!$A$2:$F$379,3,0)</f>
        <v>8.73</v>
      </c>
      <c r="S4" s="16">
        <f>VLOOKUP(A4,[1]Sheet1!$A$2:$F$379,4,0)</f>
        <v>17.46</v>
      </c>
      <c r="T4" s="16">
        <f>VLOOKUP(A4,[1]Sheet1!$A$2:$F$379,5,0)</f>
        <v>320</v>
      </c>
      <c r="U4" s="16"/>
      <c r="V4" s="16"/>
      <c r="W4" s="16"/>
      <c r="X4" s="16"/>
      <c r="Y4" s="18" t="s">
        <v>1287</v>
      </c>
    </row>
    <row r="5" spans="1:25" s="18" customFormat="1" x14ac:dyDescent="0.25">
      <c r="A5" s="13" t="s">
        <v>1107</v>
      </c>
      <c r="B5" s="14" t="str">
        <f>VLOOKUP(A5,[1]Sheet1!$A$2:$F$379,2,0)</f>
        <v>44776-0W020</v>
      </c>
      <c r="C5" s="14" t="s">
        <v>619</v>
      </c>
      <c r="D5" s="14" t="s">
        <v>1239</v>
      </c>
      <c r="E5" s="15">
        <v>18.62</v>
      </c>
      <c r="F5" s="14" t="s">
        <v>1225</v>
      </c>
      <c r="G5" s="15">
        <v>13.26</v>
      </c>
      <c r="H5" s="14" t="s">
        <v>1226</v>
      </c>
      <c r="I5" s="15">
        <v>36.19</v>
      </c>
      <c r="J5" s="15">
        <f t="shared" si="1"/>
        <v>68.069999999999993</v>
      </c>
      <c r="K5" s="14" t="s">
        <v>1264</v>
      </c>
      <c r="L5" s="15">
        <v>1.61</v>
      </c>
      <c r="M5" s="15">
        <f t="shared" si="0"/>
        <v>69.679999999999993</v>
      </c>
      <c r="N5" s="14" t="str">
        <f>VLOOKUP(A5,[2]Sheet1!$B$4:$F$352,3,0)</f>
        <v>CHS3L</v>
      </c>
      <c r="O5" s="16">
        <f>VLOOKUP(A5,[2]Sheet1!$B$4:$F$352,4,0)</f>
        <v>2</v>
      </c>
      <c r="P5" s="16"/>
      <c r="Q5" s="16">
        <f>VLOOKUP(A5,[2]Sheet1!$B$4:$F$352,4,0)</f>
        <v>2</v>
      </c>
      <c r="R5" s="17">
        <f>VLOOKUP(A5,[1]Sheet1!$A$2:$F$379,3,0)</f>
        <v>8.73</v>
      </c>
      <c r="S5" s="16">
        <f>VLOOKUP(A5,[1]Sheet1!$A$2:$F$379,4,0)</f>
        <v>17.46</v>
      </c>
      <c r="T5" s="16">
        <f>VLOOKUP(A5,[1]Sheet1!$A$2:$F$379,5,0)</f>
        <v>320</v>
      </c>
      <c r="U5" s="16"/>
      <c r="V5" s="16"/>
      <c r="W5" s="16"/>
      <c r="X5" s="16"/>
      <c r="Y5" s="18" t="s">
        <v>1278</v>
      </c>
    </row>
    <row r="6" spans="1:25" s="18" customFormat="1" x14ac:dyDescent="0.25">
      <c r="A6" s="13" t="s">
        <v>1099</v>
      </c>
      <c r="B6" s="14" t="str">
        <f>VLOOKUP(A6,[1]Sheet1!$A$2:$F$379,2,0)</f>
        <v>44776-0W030</v>
      </c>
      <c r="C6" s="14" t="s">
        <v>599</v>
      </c>
      <c r="D6" s="14" t="s">
        <v>1239</v>
      </c>
      <c r="E6" s="15">
        <v>14.44</v>
      </c>
      <c r="F6" s="14" t="s">
        <v>1241</v>
      </c>
      <c r="G6" s="15">
        <v>52.12</v>
      </c>
      <c r="H6" s="14" t="s">
        <v>1240</v>
      </c>
      <c r="I6" s="15">
        <v>24.53</v>
      </c>
      <c r="J6" s="15">
        <f t="shared" si="1"/>
        <v>91.09</v>
      </c>
      <c r="K6" s="14" t="s">
        <v>1264</v>
      </c>
      <c r="L6" s="15">
        <v>2.12</v>
      </c>
      <c r="M6" s="15">
        <f t="shared" si="0"/>
        <v>93.21</v>
      </c>
      <c r="N6" s="14" t="str">
        <f>VLOOKUP(A6,[2]Sheet1!$B$4:$F$352,3,0)</f>
        <v>CHS3L</v>
      </c>
      <c r="O6" s="16">
        <f>VLOOKUP(A6,[2]Sheet1!$B$4:$F$352,4,0)</f>
        <v>0</v>
      </c>
      <c r="P6" s="16"/>
      <c r="Q6" s="16">
        <f>VLOOKUP(A6,[2]Sheet1!$B$4:$F$352,4,0)</f>
        <v>0</v>
      </c>
      <c r="R6" s="17">
        <f>VLOOKUP(A6,[1]Sheet1!$A$2:$F$379,3,0)</f>
        <v>8.73</v>
      </c>
      <c r="S6" s="16">
        <f>VLOOKUP(A6,[1]Sheet1!$A$2:$F$379,4,0)</f>
        <v>17.46</v>
      </c>
      <c r="T6" s="16">
        <f>VLOOKUP(A6,[1]Sheet1!$A$2:$F$379,5,0)</f>
        <v>400</v>
      </c>
      <c r="U6" s="16" t="str">
        <f>VLOOKUP(A6,[1]Sheet1!$A$2:$F$379,6,0)</f>
        <v>392-395</v>
      </c>
      <c r="V6" s="16"/>
      <c r="W6" s="16"/>
      <c r="X6" s="16"/>
      <c r="Y6" s="18" t="s">
        <v>1286</v>
      </c>
    </row>
    <row r="7" spans="1:25" s="18" customFormat="1" x14ac:dyDescent="0.25">
      <c r="A7" s="13" t="s">
        <v>1099</v>
      </c>
      <c r="B7" s="14" t="str">
        <f>VLOOKUP(A7,[1]Sheet1!$A$2:$F$379,2,0)</f>
        <v>44776-0W030</v>
      </c>
      <c r="C7" s="14" t="s">
        <v>599</v>
      </c>
      <c r="D7" s="14" t="s">
        <v>1239</v>
      </c>
      <c r="E7" s="15">
        <v>23.34</v>
      </c>
      <c r="F7" s="14" t="s">
        <v>1225</v>
      </c>
      <c r="G7" s="15">
        <v>16.63</v>
      </c>
      <c r="H7" s="14" t="s">
        <v>1226</v>
      </c>
      <c r="I7" s="15">
        <v>45.39</v>
      </c>
      <c r="J7" s="15">
        <f t="shared" si="1"/>
        <v>85.36</v>
      </c>
      <c r="K7" s="14" t="s">
        <v>1264</v>
      </c>
      <c r="L7" s="15">
        <v>2.0099999999999998</v>
      </c>
      <c r="M7" s="15">
        <f t="shared" si="0"/>
        <v>87.37</v>
      </c>
      <c r="N7" s="14" t="str">
        <f>VLOOKUP(A7,[2]Sheet1!$B$4:$F$352,3,0)</f>
        <v>CHS3L</v>
      </c>
      <c r="O7" s="16">
        <f>VLOOKUP(A7,[2]Sheet1!$B$4:$F$352,4,0)</f>
        <v>0</v>
      </c>
      <c r="P7" s="16"/>
      <c r="Q7" s="16">
        <f>VLOOKUP(A7,[2]Sheet1!$B$4:$F$352,4,0)</f>
        <v>0</v>
      </c>
      <c r="R7" s="17">
        <f>VLOOKUP(A7,[1]Sheet1!$A$2:$F$379,3,0)</f>
        <v>8.73</v>
      </c>
      <c r="S7" s="16">
        <f>VLOOKUP(A7,[1]Sheet1!$A$2:$F$379,4,0)</f>
        <v>17.46</v>
      </c>
      <c r="T7" s="16">
        <f>VLOOKUP(A7,[1]Sheet1!$A$2:$F$379,5,0)</f>
        <v>400</v>
      </c>
      <c r="U7" s="16" t="str">
        <f>VLOOKUP(A7,[1]Sheet1!$A$2:$F$379,6,0)</f>
        <v>392-395</v>
      </c>
      <c r="V7" s="16"/>
      <c r="W7" s="16"/>
      <c r="X7" s="16"/>
      <c r="Y7" s="18" t="s">
        <v>1282</v>
      </c>
    </row>
    <row r="8" spans="1:25" s="18" customFormat="1" x14ac:dyDescent="0.25">
      <c r="A8" s="13" t="s">
        <v>1103</v>
      </c>
      <c r="B8" s="14" t="str">
        <f>VLOOKUP(A8,[1]Sheet1!$A$2:$F$379,2,0)</f>
        <v>44778-0W030</v>
      </c>
      <c r="C8" s="14" t="s">
        <v>609</v>
      </c>
      <c r="D8" s="14" t="s">
        <v>1239</v>
      </c>
      <c r="E8" s="15">
        <v>9.8800000000000008</v>
      </c>
      <c r="F8" s="14" t="s">
        <v>1240</v>
      </c>
      <c r="G8" s="15">
        <v>16.78</v>
      </c>
      <c r="H8" s="14" t="s">
        <v>1241</v>
      </c>
      <c r="I8" s="15">
        <v>35.67</v>
      </c>
      <c r="J8" s="15">
        <f t="shared" si="1"/>
        <v>62.330000000000005</v>
      </c>
      <c r="K8" s="14" t="s">
        <v>1264</v>
      </c>
      <c r="L8" s="15">
        <v>1.45</v>
      </c>
      <c r="M8" s="15">
        <f t="shared" si="0"/>
        <v>63.780000000000008</v>
      </c>
      <c r="N8" s="14" t="str">
        <f>VLOOKUP(A8,[2]Sheet1!$B$4:$F$352,3,0)</f>
        <v>CHS3L</v>
      </c>
      <c r="O8" s="16">
        <f>VLOOKUP(A8,[2]Sheet1!$B$4:$F$352,4,0)</f>
        <v>0</v>
      </c>
      <c r="P8" s="16"/>
      <c r="Q8" s="16">
        <f>VLOOKUP(A8,[2]Sheet1!$B$4:$F$352,4,0)</f>
        <v>0</v>
      </c>
      <c r="R8" s="17">
        <f>VLOOKUP(A8,[1]Sheet1!$A$2:$F$379,3,0)</f>
        <v>8.73</v>
      </c>
      <c r="S8" s="16">
        <f>VLOOKUP(A8,[1]Sheet1!$A$2:$F$379,4,0)</f>
        <v>17.46</v>
      </c>
      <c r="T8" s="16">
        <f>VLOOKUP(A8,[1]Sheet1!$A$2:$F$379,5,0)</f>
        <v>259</v>
      </c>
      <c r="U8" s="16" t="str">
        <f>VLOOKUP(A8,[1]Sheet1!$A$2:$F$379,6,0)</f>
        <v>254-256</v>
      </c>
      <c r="V8" s="16"/>
      <c r="W8" s="16"/>
      <c r="X8" s="16"/>
      <c r="Y8" s="18" t="s">
        <v>1282</v>
      </c>
    </row>
    <row r="9" spans="1:25" s="18" customFormat="1" x14ac:dyDescent="0.25">
      <c r="A9" s="13" t="s">
        <v>1103</v>
      </c>
      <c r="B9" s="14" t="str">
        <f>VLOOKUP(A9,[1]Sheet1!$A$2:$F$379,2,0)</f>
        <v>44778-0W030</v>
      </c>
      <c r="C9" s="14" t="s">
        <v>609</v>
      </c>
      <c r="D9" s="14" t="s">
        <v>1239</v>
      </c>
      <c r="E9" s="15">
        <v>15.01</v>
      </c>
      <c r="F9" s="14" t="s">
        <v>1225</v>
      </c>
      <c r="G9" s="15">
        <v>10.69</v>
      </c>
      <c r="H9" s="14" t="s">
        <v>1226</v>
      </c>
      <c r="I9" s="15">
        <v>29.18</v>
      </c>
      <c r="J9" s="15">
        <f t="shared" si="1"/>
        <v>54.879999999999995</v>
      </c>
      <c r="K9" s="14" t="s">
        <v>1264</v>
      </c>
      <c r="L9" s="15">
        <v>1.3</v>
      </c>
      <c r="M9" s="15">
        <f t="shared" si="0"/>
        <v>56.18</v>
      </c>
      <c r="N9" s="14" t="str">
        <f>VLOOKUP(A9,[2]Sheet1!$B$4:$F$352,3,0)</f>
        <v>CHS3L</v>
      </c>
      <c r="O9" s="16">
        <f>VLOOKUP(A9,[2]Sheet1!$B$4:$F$352,4,0)</f>
        <v>0</v>
      </c>
      <c r="P9" s="16"/>
      <c r="Q9" s="16">
        <f>VLOOKUP(A9,[2]Sheet1!$B$4:$F$352,4,0)</f>
        <v>0</v>
      </c>
      <c r="R9" s="17">
        <f>VLOOKUP(A9,[1]Sheet1!$A$2:$F$379,3,0)</f>
        <v>8.73</v>
      </c>
      <c r="S9" s="16">
        <f>VLOOKUP(A9,[1]Sheet1!$A$2:$F$379,4,0)</f>
        <v>17.46</v>
      </c>
      <c r="T9" s="16">
        <f>VLOOKUP(A9,[1]Sheet1!$A$2:$F$379,5,0)</f>
        <v>259</v>
      </c>
      <c r="U9" s="16" t="str">
        <f>VLOOKUP(A9,[1]Sheet1!$A$2:$F$379,6,0)</f>
        <v>254-256</v>
      </c>
      <c r="V9" s="16"/>
      <c r="W9" s="16"/>
      <c r="X9" s="16"/>
      <c r="Y9" s="18" t="s">
        <v>1280</v>
      </c>
    </row>
    <row r="10" spans="1:25" s="18" customFormat="1" x14ac:dyDescent="0.25">
      <c r="A10" s="13" t="s">
        <v>1122</v>
      </c>
      <c r="B10" s="14" t="str">
        <f>VLOOKUP(A10,[1]Sheet1!$A$2:$F$379,2,0)</f>
        <v>77259-0W030</v>
      </c>
      <c r="C10" s="14" t="s">
        <v>653</v>
      </c>
      <c r="D10" s="14" t="s">
        <v>1242</v>
      </c>
      <c r="E10" s="15">
        <v>23.21</v>
      </c>
      <c r="F10" s="14" t="s">
        <v>1243</v>
      </c>
      <c r="G10" s="15">
        <v>27.37</v>
      </c>
      <c r="H10" s="14"/>
      <c r="I10" s="14"/>
      <c r="J10" s="15">
        <f t="shared" si="1"/>
        <v>50.58</v>
      </c>
      <c r="K10" s="14" t="s">
        <v>1264</v>
      </c>
      <c r="L10" s="15">
        <v>1.88</v>
      </c>
      <c r="M10" s="15">
        <f t="shared" si="0"/>
        <v>52.46</v>
      </c>
      <c r="N10" s="14" t="str">
        <f>VLOOKUP(A10,[2]Sheet1!$B$4:$F$352,3,0)</f>
        <v>CHS3L</v>
      </c>
      <c r="O10" s="16">
        <f>VLOOKUP(A10,[2]Sheet1!$B$4:$F$352,4,0)</f>
        <v>0</v>
      </c>
      <c r="P10" s="16"/>
      <c r="Q10" s="16">
        <f>VLOOKUP(A10,[2]Sheet1!$B$4:$F$352,4,0)</f>
        <v>0</v>
      </c>
      <c r="R10" s="17">
        <f>VLOOKUP(A10,[1]Sheet1!$A$2:$F$379,3,0)</f>
        <v>9.5</v>
      </c>
      <c r="S10" s="16">
        <f>VLOOKUP(A10,[1]Sheet1!$A$2:$F$379,4,0)</f>
        <v>16.5</v>
      </c>
      <c r="T10" s="16">
        <f>VLOOKUP(A10,[1]Sheet1!$A$2:$F$379,5,0)</f>
        <v>289</v>
      </c>
      <c r="U10" s="16" t="str">
        <f>VLOOKUP(A10,[1]Sheet1!$A$2:$F$379,6,0)</f>
        <v>274±2</v>
      </c>
      <c r="V10" s="16"/>
      <c r="W10" s="16"/>
      <c r="X10" s="16"/>
      <c r="Y10" s="18" t="s">
        <v>1285</v>
      </c>
    </row>
    <row r="11" spans="1:25" s="18" customFormat="1" x14ac:dyDescent="0.25">
      <c r="A11" s="13" t="s">
        <v>1126</v>
      </c>
      <c r="B11" s="14" t="str">
        <f>VLOOKUP(A11,[1]Sheet1!$A$2:$F$379,2,0)</f>
        <v>77259-0W040</v>
      </c>
      <c r="C11" s="14" t="s">
        <v>663</v>
      </c>
      <c r="D11" s="14" t="s">
        <v>1242</v>
      </c>
      <c r="E11" s="15">
        <v>27.14</v>
      </c>
      <c r="F11" s="14" t="s">
        <v>1243</v>
      </c>
      <c r="G11" s="15">
        <v>32.01</v>
      </c>
      <c r="H11" s="14"/>
      <c r="I11" s="14"/>
      <c r="J11" s="15">
        <f t="shared" si="1"/>
        <v>59.15</v>
      </c>
      <c r="K11" s="14" t="s">
        <v>1264</v>
      </c>
      <c r="L11" s="15">
        <v>2.2000000000000002</v>
      </c>
      <c r="M11" s="15">
        <f t="shared" si="0"/>
        <v>61.35</v>
      </c>
      <c r="N11" s="14" t="str">
        <f>VLOOKUP(A11,[2]Sheet1!$B$4:$F$352,3,0)</f>
        <v>CHS3L</v>
      </c>
      <c r="O11" s="16">
        <f>VLOOKUP(A11,[2]Sheet1!$B$4:$F$352,4,0)</f>
        <v>0</v>
      </c>
      <c r="P11" s="16"/>
      <c r="Q11" s="16">
        <f>VLOOKUP(A11,[2]Sheet1!$B$4:$F$352,4,0)</f>
        <v>0</v>
      </c>
      <c r="R11" s="17">
        <f>VLOOKUP(A11,[1]Sheet1!$A$2:$F$379,3,0)</f>
        <v>9.5</v>
      </c>
      <c r="S11" s="16">
        <f>VLOOKUP(A11,[1]Sheet1!$A$2:$F$379,4,0)</f>
        <v>16.5</v>
      </c>
      <c r="T11" s="16">
        <f>VLOOKUP(A11,[1]Sheet1!$A$2:$F$379,5,0)</f>
        <v>338</v>
      </c>
      <c r="U11" s="16"/>
      <c r="V11" s="16"/>
      <c r="W11" s="16"/>
      <c r="X11" s="16"/>
      <c r="Y11" s="18" t="s">
        <v>1284</v>
      </c>
    </row>
    <row r="12" spans="1:25" s="18" customFormat="1" x14ac:dyDescent="0.25">
      <c r="A12" s="13" t="s">
        <v>1125</v>
      </c>
      <c r="B12" s="14" t="str">
        <f>VLOOKUP(A12,[1]Sheet1!$A$2:$F$379,2,0)</f>
        <v>77259-0W050</v>
      </c>
      <c r="C12" s="14" t="s">
        <v>661</v>
      </c>
      <c r="D12" s="14" t="s">
        <v>1242</v>
      </c>
      <c r="E12" s="15">
        <v>22.4</v>
      </c>
      <c r="F12" s="14" t="s">
        <v>1243</v>
      </c>
      <c r="G12" s="15">
        <v>26.42</v>
      </c>
      <c r="H12" s="14"/>
      <c r="I12" s="14"/>
      <c r="J12" s="15">
        <f t="shared" si="1"/>
        <v>48.82</v>
      </c>
      <c r="K12" s="14" t="s">
        <v>1264</v>
      </c>
      <c r="L12" s="15">
        <v>1.81</v>
      </c>
      <c r="M12" s="15">
        <f t="shared" si="0"/>
        <v>50.629999999999995</v>
      </c>
      <c r="N12" s="14" t="str">
        <f>VLOOKUP(A12,[2]Sheet1!$B$4:$F$352,3,0)</f>
        <v>CHS3L</v>
      </c>
      <c r="O12" s="16">
        <f>VLOOKUP(A12,[2]Sheet1!$B$4:$F$352,4,0)</f>
        <v>0</v>
      </c>
      <c r="P12" s="16"/>
      <c r="Q12" s="16">
        <f>VLOOKUP(A12,[2]Sheet1!$B$4:$F$352,4,0)</f>
        <v>0</v>
      </c>
      <c r="R12" s="17">
        <f>VLOOKUP(A12,[1]Sheet1!$A$2:$F$379,3,0)</f>
        <v>9.5</v>
      </c>
      <c r="S12" s="16">
        <f>VLOOKUP(A12,[1]Sheet1!$A$2:$F$379,4,0)</f>
        <v>16.5</v>
      </c>
      <c r="T12" s="16">
        <f>VLOOKUP(A12,[1]Sheet1!$A$2:$F$379,5,0)</f>
        <v>279</v>
      </c>
      <c r="U12" s="16" t="str">
        <f>VLOOKUP(A12,[1]Sheet1!$A$2:$F$379,6,0)</f>
        <v>265±3</v>
      </c>
      <c r="V12" s="16"/>
      <c r="W12" s="16"/>
      <c r="X12" s="16"/>
      <c r="Y12" s="18" t="s">
        <v>1279</v>
      </c>
    </row>
    <row r="13" spans="1:25" s="18" customFormat="1" x14ac:dyDescent="0.25">
      <c r="A13" s="13" t="s">
        <v>1127</v>
      </c>
      <c r="B13" s="14" t="str">
        <f>VLOOKUP(A13,[1]Sheet1!$A$2:$F$379,2,0)</f>
        <v>77259-0W060</v>
      </c>
      <c r="C13" s="14" t="s">
        <v>665</v>
      </c>
      <c r="D13" s="14" t="s">
        <v>1242</v>
      </c>
      <c r="E13" s="15">
        <v>22.48</v>
      </c>
      <c r="F13" s="14" t="s">
        <v>1243</v>
      </c>
      <c r="G13" s="15">
        <v>26.52</v>
      </c>
      <c r="H13" s="14"/>
      <c r="I13" s="14"/>
      <c r="J13" s="15">
        <f t="shared" si="1"/>
        <v>49</v>
      </c>
      <c r="K13" s="14" t="s">
        <v>1264</v>
      </c>
      <c r="L13" s="15">
        <v>1.82</v>
      </c>
      <c r="M13" s="15">
        <f t="shared" si="0"/>
        <v>50.82</v>
      </c>
      <c r="N13" s="14" t="str">
        <f>VLOOKUP(A13,[2]Sheet1!$B$4:$F$352,3,0)</f>
        <v>CHS3L</v>
      </c>
      <c r="O13" s="16">
        <f>VLOOKUP(A13,[2]Sheet1!$B$4:$F$352,4,0)</f>
        <v>0</v>
      </c>
      <c r="P13" s="16"/>
      <c r="Q13" s="16">
        <f>VLOOKUP(A13,[2]Sheet1!$B$4:$F$352,4,0)</f>
        <v>0</v>
      </c>
      <c r="R13" s="17">
        <f>VLOOKUP(A13,[1]Sheet1!$A$2:$F$379,3,0)</f>
        <v>9.5</v>
      </c>
      <c r="S13" s="16">
        <f>VLOOKUP(A13,[1]Sheet1!$A$2:$F$379,4,0)</f>
        <v>16.5</v>
      </c>
      <c r="T13" s="16">
        <f>VLOOKUP(A13,[1]Sheet1!$A$2:$F$379,5,0)</f>
        <v>280</v>
      </c>
      <c r="U13" s="16" t="str">
        <f>VLOOKUP(A13,[1]Sheet1!$A$2:$F$379,6,0)</f>
        <v>266±3</v>
      </c>
      <c r="V13" s="16"/>
      <c r="W13" s="16"/>
      <c r="X13" s="16"/>
      <c r="Y13" s="18" t="s">
        <v>1277</v>
      </c>
    </row>
    <row r="14" spans="1:25" s="18" customFormat="1" x14ac:dyDescent="0.25">
      <c r="A14" s="13" t="s">
        <v>1118</v>
      </c>
      <c r="B14" s="14" t="str">
        <f>VLOOKUP(A14,[1]Sheet1!$A$2:$F$379,2,0)</f>
        <v>77279-0W020</v>
      </c>
      <c r="C14" s="14" t="s">
        <v>645</v>
      </c>
      <c r="D14" s="14" t="s">
        <v>1242</v>
      </c>
      <c r="E14" s="15">
        <v>15.05</v>
      </c>
      <c r="F14" s="14" t="s">
        <v>1243</v>
      </c>
      <c r="G14" s="15">
        <v>19.14</v>
      </c>
      <c r="H14" s="14"/>
      <c r="I14" s="14"/>
      <c r="J14" s="15">
        <f t="shared" si="1"/>
        <v>34.19</v>
      </c>
      <c r="K14" s="14" t="s">
        <v>1264</v>
      </c>
      <c r="L14" s="15">
        <v>1.85</v>
      </c>
      <c r="M14" s="15">
        <f t="shared" si="0"/>
        <v>36.040000000000006</v>
      </c>
      <c r="N14" s="14" t="str">
        <f>VLOOKUP(A14,[2]Sheet1!$B$4:$F$352,3,0)</f>
        <v>CHS3L</v>
      </c>
      <c r="O14" s="16">
        <f>VLOOKUP(A14,[2]Sheet1!$B$4:$F$352,4,0)</f>
        <v>0</v>
      </c>
      <c r="P14" s="16"/>
      <c r="Q14" s="16">
        <f>VLOOKUP(A14,[2]Sheet1!$B$4:$F$352,4,0)</f>
        <v>0</v>
      </c>
      <c r="R14" s="17">
        <f>VLOOKUP(A14,[1]Sheet1!$A$2:$F$379,3,0)</f>
        <v>7.6</v>
      </c>
      <c r="S14" s="16">
        <f>VLOOKUP(A14,[1]Sheet1!$A$2:$F$379,4,0)</f>
        <v>14</v>
      </c>
      <c r="T14" s="16">
        <f>VLOOKUP(A14,[1]Sheet1!$A$2:$F$379,5,0)</f>
        <v>299</v>
      </c>
      <c r="U14" s="16"/>
      <c r="V14" s="16"/>
      <c r="W14" s="16"/>
      <c r="X14" s="16"/>
      <c r="Y14" s="18" t="s">
        <v>1283</v>
      </c>
    </row>
    <row r="15" spans="1:25" s="18" customFormat="1" x14ac:dyDescent="0.25">
      <c r="A15" s="13" t="s">
        <v>1119</v>
      </c>
      <c r="B15" s="14" t="str">
        <f>VLOOKUP(A15,[1]Sheet1!$A$2:$F$379,2,0)</f>
        <v>77279-0W030</v>
      </c>
      <c r="C15" s="14" t="s">
        <v>647</v>
      </c>
      <c r="D15" s="14" t="s">
        <v>1242</v>
      </c>
      <c r="E15" s="15">
        <v>15.05</v>
      </c>
      <c r="F15" s="14" t="s">
        <v>1243</v>
      </c>
      <c r="G15" s="15">
        <v>19.14</v>
      </c>
      <c r="H15" s="14"/>
      <c r="I15" s="14"/>
      <c r="J15" s="15">
        <f t="shared" si="1"/>
        <v>34.19</v>
      </c>
      <c r="K15" s="14" t="s">
        <v>1264</v>
      </c>
      <c r="L15" s="15">
        <v>1.85</v>
      </c>
      <c r="M15" s="15">
        <f t="shared" si="0"/>
        <v>36.040000000000006</v>
      </c>
      <c r="N15" s="14" t="str">
        <f>VLOOKUP(A15,[2]Sheet1!$B$4:$F$352,3,0)</f>
        <v>CHS3L</v>
      </c>
      <c r="O15" s="16">
        <f>VLOOKUP(A15,[2]Sheet1!$B$4:$F$352,4,0)</f>
        <v>0</v>
      </c>
      <c r="P15" s="16"/>
      <c r="Q15" s="16">
        <f>VLOOKUP(A15,[2]Sheet1!$B$4:$F$352,4,0)</f>
        <v>0</v>
      </c>
      <c r="R15" s="17">
        <f>VLOOKUP(A15,[1]Sheet1!$A$2:$F$379,3,0)</f>
        <v>7.6</v>
      </c>
      <c r="S15" s="16">
        <f>VLOOKUP(A15,[1]Sheet1!$A$2:$F$379,4,0)</f>
        <v>14</v>
      </c>
      <c r="T15" s="16">
        <f>VLOOKUP(A15,[1]Sheet1!$A$2:$F$379,5,0)</f>
        <v>299</v>
      </c>
      <c r="U15" s="16"/>
      <c r="V15" s="16"/>
      <c r="W15" s="16"/>
      <c r="X15" s="16"/>
      <c r="Y15" s="18" t="s">
        <v>1276</v>
      </c>
    </row>
    <row r="16" spans="1:25" s="18" customFormat="1" x14ac:dyDescent="0.25">
      <c r="A16" s="13" t="s">
        <v>1108</v>
      </c>
      <c r="B16" s="14" t="str">
        <f>VLOOKUP(A16,[1]Sheet1!$A$2:$F$379,2,0)</f>
        <v>44773-0W030</v>
      </c>
      <c r="C16" s="14" t="s">
        <v>621</v>
      </c>
      <c r="D16" s="14" t="s">
        <v>1240</v>
      </c>
      <c r="E16" s="15">
        <v>5.25</v>
      </c>
      <c r="F16" s="14" t="s">
        <v>1239</v>
      </c>
      <c r="G16" s="15">
        <v>8.92</v>
      </c>
      <c r="H16" s="14" t="s">
        <v>1241</v>
      </c>
      <c r="I16" s="15">
        <v>18.97</v>
      </c>
      <c r="J16" s="15">
        <f t="shared" si="1"/>
        <v>33.14</v>
      </c>
      <c r="K16" s="14" t="s">
        <v>1264</v>
      </c>
      <c r="L16" s="15">
        <v>0.77</v>
      </c>
      <c r="M16" s="15">
        <f t="shared" si="0"/>
        <v>33.909999999999997</v>
      </c>
      <c r="N16" s="14" t="str">
        <f>VLOOKUP(A16,[2]Sheet1!$B$4:$F$352,3,0)</f>
        <v>CHS3L</v>
      </c>
      <c r="O16" s="16">
        <f>VLOOKUP(A16,[2]Sheet1!$B$4:$F$352,4,0)</f>
        <v>0</v>
      </c>
      <c r="P16" s="16"/>
      <c r="Q16" s="16">
        <f>VLOOKUP(A16,[2]Sheet1!$B$4:$F$352,4,0)</f>
        <v>0</v>
      </c>
      <c r="R16" s="17">
        <f>VLOOKUP(A16,[1]Sheet1!$A$2:$F$379,3,0)</f>
        <v>8.73</v>
      </c>
      <c r="S16" s="16">
        <f>VLOOKUP(A16,[1]Sheet1!$A$2:$F$379,4,0)</f>
        <v>17.46</v>
      </c>
      <c r="T16" s="16">
        <f>VLOOKUP(A16,[1]Sheet1!$A$2:$F$379,5,0)</f>
        <v>126</v>
      </c>
      <c r="U16" s="16"/>
      <c r="V16" s="16"/>
      <c r="W16" s="16"/>
      <c r="X16" s="16"/>
      <c r="Y16" s="18" t="s">
        <v>1283</v>
      </c>
    </row>
    <row r="17" spans="1:25" s="18" customFormat="1" x14ac:dyDescent="0.25">
      <c r="A17" s="13" t="s">
        <v>1108</v>
      </c>
      <c r="B17" s="14" t="str">
        <f>VLOOKUP(A17,[1]Sheet1!$A$2:$F$379,2,0)</f>
        <v>44773-0W030</v>
      </c>
      <c r="C17" s="14" t="s">
        <v>621</v>
      </c>
      <c r="D17" s="14" t="s">
        <v>1239</v>
      </c>
      <c r="E17" s="15">
        <v>7.15</v>
      </c>
      <c r="F17" s="14" t="s">
        <v>1225</v>
      </c>
      <c r="G17" s="15">
        <v>5.09</v>
      </c>
      <c r="H17" s="14" t="s">
        <v>1226</v>
      </c>
      <c r="I17" s="15">
        <v>13.9</v>
      </c>
      <c r="J17" s="15">
        <f t="shared" si="1"/>
        <v>26.14</v>
      </c>
      <c r="K17" s="14" t="s">
        <v>1264</v>
      </c>
      <c r="L17" s="15">
        <v>0.62</v>
      </c>
      <c r="M17" s="15">
        <f t="shared" si="0"/>
        <v>26.759999999999998</v>
      </c>
      <c r="N17" s="14" t="str">
        <f>VLOOKUP(A17,[2]Sheet1!$B$4:$F$352,3,0)</f>
        <v>CHS3L</v>
      </c>
      <c r="O17" s="16">
        <f>VLOOKUP(A17,[2]Sheet1!$B$4:$F$352,4,0)</f>
        <v>0</v>
      </c>
      <c r="P17" s="16"/>
      <c r="Q17" s="16">
        <f>VLOOKUP(A17,[2]Sheet1!$B$4:$F$352,4,0)</f>
        <v>0</v>
      </c>
      <c r="R17" s="17">
        <f>VLOOKUP(A17,[1]Sheet1!$A$2:$F$379,3,0)</f>
        <v>8.73</v>
      </c>
      <c r="S17" s="16">
        <f>VLOOKUP(A17,[1]Sheet1!$A$2:$F$379,4,0)</f>
        <v>17.46</v>
      </c>
      <c r="T17" s="16">
        <f>VLOOKUP(A17,[1]Sheet1!$A$2:$F$379,5,0)</f>
        <v>126</v>
      </c>
      <c r="U17" s="16" t="str">
        <f>VLOOKUP(A17,[1]Sheet1!$A$2:$F$379,6,0)</f>
        <v>121-125</v>
      </c>
      <c r="V17" s="16"/>
      <c r="W17" s="16"/>
      <c r="X17" s="16"/>
      <c r="Y17" s="18" t="s">
        <v>1282</v>
      </c>
    </row>
    <row r="18" spans="1:25" s="18" customFormat="1" x14ac:dyDescent="0.25">
      <c r="A18" s="13" t="s">
        <v>1104</v>
      </c>
      <c r="B18" s="14" t="str">
        <f>VLOOKUP(A18,[1]Sheet1!$A$2:$F$379,2,0)</f>
        <v>44778-0W020</v>
      </c>
      <c r="C18" s="14" t="s">
        <v>611</v>
      </c>
      <c r="D18" s="14" t="s">
        <v>1239</v>
      </c>
      <c r="E18" s="15">
        <v>11.11</v>
      </c>
      <c r="F18" s="14" t="s">
        <v>1241</v>
      </c>
      <c r="G18" s="15">
        <v>23.61</v>
      </c>
      <c r="H18" s="14" t="s">
        <v>1240</v>
      </c>
      <c r="I18" s="15">
        <v>6.54</v>
      </c>
      <c r="J18" s="15">
        <f t="shared" si="1"/>
        <v>41.26</v>
      </c>
      <c r="K18" s="14" t="s">
        <v>1264</v>
      </c>
      <c r="L18" s="15">
        <v>0.96</v>
      </c>
      <c r="M18" s="15">
        <f t="shared" si="0"/>
        <v>42.22</v>
      </c>
      <c r="N18" s="14" t="str">
        <f>VLOOKUP(A18,[2]Sheet1!$B$4:$F$352,3,0)</f>
        <v>CHS3L</v>
      </c>
      <c r="O18" s="16">
        <f>VLOOKUP(A18,[2]Sheet1!$B$4:$F$352,4,0)</f>
        <v>0</v>
      </c>
      <c r="P18" s="16"/>
      <c r="Q18" s="16">
        <f>VLOOKUP(A18,[2]Sheet1!$B$4:$F$352,4,0)</f>
        <v>0</v>
      </c>
      <c r="R18" s="17">
        <f>VLOOKUP(A18,[1]Sheet1!$A$2:$F$379,3,0)</f>
        <v>8.73</v>
      </c>
      <c r="S18" s="16">
        <f>VLOOKUP(A18,[1]Sheet1!$A$2:$F$379,4,0)</f>
        <v>17.46</v>
      </c>
      <c r="T18" s="16">
        <f>VLOOKUP(A18,[1]Sheet1!$A$2:$F$379,5,0)</f>
        <v>162</v>
      </c>
      <c r="U18" s="16"/>
      <c r="V18" s="16"/>
      <c r="W18" s="16"/>
      <c r="X18" s="16"/>
      <c r="Y18" s="18" t="s">
        <v>1281</v>
      </c>
    </row>
    <row r="19" spans="1:25" s="18" customFormat="1" x14ac:dyDescent="0.25">
      <c r="A19" s="13" t="s">
        <v>1104</v>
      </c>
      <c r="B19" s="14" t="str">
        <f>VLOOKUP(A19,[1]Sheet1!$A$2:$F$379,2,0)</f>
        <v>44778-0W020</v>
      </c>
      <c r="C19" s="14" t="s">
        <v>611</v>
      </c>
      <c r="D19" s="14" t="s">
        <v>1239</v>
      </c>
      <c r="E19" s="15">
        <v>9.34</v>
      </c>
      <c r="F19" s="14" t="s">
        <v>1225</v>
      </c>
      <c r="G19" s="15">
        <v>6.65</v>
      </c>
      <c r="H19" s="14" t="s">
        <v>1226</v>
      </c>
      <c r="I19" s="15">
        <v>18.149999999999999</v>
      </c>
      <c r="J19" s="15">
        <f t="shared" si="1"/>
        <v>34.14</v>
      </c>
      <c r="K19" s="14" t="s">
        <v>1264</v>
      </c>
      <c r="L19" s="15">
        <v>0.81</v>
      </c>
      <c r="M19" s="15">
        <f t="shared" si="0"/>
        <v>34.950000000000003</v>
      </c>
      <c r="N19" s="14" t="str">
        <f>VLOOKUP(A19,[2]Sheet1!$B$4:$F$352,3,0)</f>
        <v>CHS3L</v>
      </c>
      <c r="O19" s="16">
        <f>VLOOKUP(A19,[2]Sheet1!$B$4:$F$352,4,0)</f>
        <v>0</v>
      </c>
      <c r="P19" s="16"/>
      <c r="Q19" s="16">
        <f>VLOOKUP(A19,[2]Sheet1!$B$4:$F$352,4,0)</f>
        <v>0</v>
      </c>
      <c r="R19" s="17">
        <f>VLOOKUP(A19,[1]Sheet1!$A$2:$F$379,3,0)</f>
        <v>8.73</v>
      </c>
      <c r="S19" s="16">
        <f>VLOOKUP(A19,[1]Sheet1!$A$2:$F$379,4,0)</f>
        <v>17.46</v>
      </c>
      <c r="T19" s="16">
        <f>VLOOKUP(A19,[1]Sheet1!$A$2:$F$379,5,0)</f>
        <v>162</v>
      </c>
      <c r="U19" s="16" t="str">
        <f>VLOOKUP(A19,[1]Sheet1!$A$2:$F$379,6,0)</f>
        <v>155-161</v>
      </c>
      <c r="V19" s="16"/>
      <c r="W19" s="16"/>
      <c r="X19" s="16"/>
      <c r="Y19" s="18" t="s">
        <v>1279</v>
      </c>
    </row>
    <row r="20" spans="1:25" s="18" customFormat="1" x14ac:dyDescent="0.25">
      <c r="A20" s="13" t="s">
        <v>1128</v>
      </c>
      <c r="B20" s="14" t="str">
        <f>VLOOKUP(A20,[1]Sheet1!$A$2:$F$379,2,0)</f>
        <v>44771-22700</v>
      </c>
      <c r="C20" s="14" t="s">
        <v>667</v>
      </c>
      <c r="D20" s="14" t="s">
        <v>1244</v>
      </c>
      <c r="E20" s="15">
        <v>5.08</v>
      </c>
      <c r="F20" s="14" t="s">
        <v>1245</v>
      </c>
      <c r="G20" s="15">
        <v>0.84</v>
      </c>
      <c r="H20" s="14"/>
      <c r="I20" s="14"/>
      <c r="J20" s="15">
        <f t="shared" si="1"/>
        <v>5.92</v>
      </c>
      <c r="K20" s="14"/>
      <c r="L20" s="14"/>
      <c r="M20" s="15">
        <f t="shared" si="0"/>
        <v>5.92</v>
      </c>
      <c r="N20" s="14" t="e">
        <f>VLOOKUP(A20,[2]Sheet1!$B$4:$F$352,3,0)</f>
        <v>#N/A</v>
      </c>
      <c r="O20" s="16" t="e">
        <f>VLOOKUP(A20,[2]Sheet1!$B$4:$F$352,4,0)</f>
        <v>#N/A</v>
      </c>
      <c r="P20" s="16"/>
      <c r="Q20" s="16" t="e">
        <f>VLOOKUP(A20,[2]Sheet1!$B$4:$F$352,4,0)</f>
        <v>#N/A</v>
      </c>
      <c r="R20" s="17">
        <f>VLOOKUP(A20,[1]Sheet1!$A$2:$F$379,3,0)</f>
        <v>3.5</v>
      </c>
      <c r="S20" s="16">
        <f>VLOOKUP(A20,[1]Sheet1!$A$2:$F$379,4,0)</f>
        <v>7.5</v>
      </c>
      <c r="T20" s="16" t="str">
        <f>VLOOKUP(A20,[1]Sheet1!$A$2:$F$379,5,0)</f>
        <v>118±2</v>
      </c>
      <c r="U20" s="16">
        <f>VLOOKUP(A20,[1]Sheet1!$A$2:$F$379,6,0)</f>
        <v>0</v>
      </c>
      <c r="V20" s="16"/>
      <c r="W20" s="16"/>
      <c r="X20" s="16"/>
      <c r="Y20" s="18" t="s">
        <v>1282</v>
      </c>
    </row>
    <row r="21" spans="1:25" s="18" customFormat="1" x14ac:dyDescent="0.25">
      <c r="A21" s="13" t="s">
        <v>1105</v>
      </c>
      <c r="B21" s="14" t="str">
        <f>VLOOKUP(A21,[1]Sheet1!$A$2:$F$379,2,0)</f>
        <v>44771-23700</v>
      </c>
      <c r="C21" s="14" t="s">
        <v>613</v>
      </c>
      <c r="D21" s="14" t="s">
        <v>1244</v>
      </c>
      <c r="E21" s="15">
        <v>18.239999999999998</v>
      </c>
      <c r="F21" s="14" t="s">
        <v>1245</v>
      </c>
      <c r="G21" s="15">
        <v>3.01</v>
      </c>
      <c r="H21" s="14"/>
      <c r="I21" s="14"/>
      <c r="J21" s="15">
        <f t="shared" si="1"/>
        <v>21.25</v>
      </c>
      <c r="K21" s="14"/>
      <c r="L21" s="14"/>
      <c r="M21" s="15">
        <f t="shared" si="0"/>
        <v>21.25</v>
      </c>
      <c r="N21" s="14" t="e">
        <f>VLOOKUP(A21,[2]Sheet1!$B$4:$F$352,3,0)</f>
        <v>#N/A</v>
      </c>
      <c r="O21" s="16" t="e">
        <f>VLOOKUP(A21,[2]Sheet1!$B$4:$F$352,4,0)</f>
        <v>#N/A</v>
      </c>
      <c r="P21" s="16"/>
      <c r="Q21" s="16" t="e">
        <f>VLOOKUP(A21,[2]Sheet1!$B$4:$F$352,4,0)</f>
        <v>#N/A</v>
      </c>
      <c r="R21" s="17">
        <f>VLOOKUP(A21,[1]Sheet1!$A$2:$F$379,3,0)</f>
        <v>3.5</v>
      </c>
      <c r="S21" s="16">
        <f>VLOOKUP(A21,[1]Sheet1!$A$2:$F$379,4,0)</f>
        <v>7.5</v>
      </c>
      <c r="T21" s="16" t="str">
        <f>VLOOKUP(A21,[1]Sheet1!$A$2:$F$379,5,0)</f>
        <v>483±2</v>
      </c>
      <c r="U21" s="16">
        <f>VLOOKUP(A21,[1]Sheet1!$A$2:$F$379,6,0)</f>
        <v>0</v>
      </c>
      <c r="V21" s="16"/>
      <c r="W21" s="16"/>
      <c r="X21" s="16"/>
      <c r="Y21" s="18" t="s">
        <v>1280</v>
      </c>
    </row>
    <row r="22" spans="1:25" s="18" customFormat="1" x14ac:dyDescent="0.25">
      <c r="A22" s="13" t="s">
        <v>1120</v>
      </c>
      <c r="B22" s="14" t="str">
        <f>VLOOKUP(A22,[1]Sheet1!$A$2:$F$379,2,0)</f>
        <v>44771-24000</v>
      </c>
      <c r="C22" s="14" t="s">
        <v>649</v>
      </c>
      <c r="D22" s="14" t="s">
        <v>1244</v>
      </c>
      <c r="E22" s="15">
        <v>27.54</v>
      </c>
      <c r="F22" s="14" t="s">
        <v>1245</v>
      </c>
      <c r="G22" s="15">
        <v>4.53</v>
      </c>
      <c r="H22" s="14"/>
      <c r="I22" s="14"/>
      <c r="J22" s="15">
        <f t="shared" si="1"/>
        <v>32.07</v>
      </c>
      <c r="K22" s="14"/>
      <c r="L22" s="14"/>
      <c r="M22" s="15">
        <f t="shared" si="0"/>
        <v>32.07</v>
      </c>
      <c r="N22" s="14" t="e">
        <f>VLOOKUP(A22,[2]Sheet1!$B$4:$F$352,3,0)</f>
        <v>#N/A</v>
      </c>
      <c r="O22" s="16" t="e">
        <f>VLOOKUP(A22,[2]Sheet1!$B$4:$F$352,4,0)</f>
        <v>#N/A</v>
      </c>
      <c r="P22" s="16"/>
      <c r="Q22" s="16" t="e">
        <f>VLOOKUP(A22,[2]Sheet1!$B$4:$F$352,4,0)</f>
        <v>#N/A</v>
      </c>
      <c r="R22" s="17">
        <f>VLOOKUP(A22,[1]Sheet1!$A$2:$F$379,3,0)</f>
        <v>3.5</v>
      </c>
      <c r="S22" s="16">
        <f>VLOOKUP(A22,[1]Sheet1!$A$2:$F$379,4,0)</f>
        <v>7.5</v>
      </c>
      <c r="T22" s="16" t="str">
        <f>VLOOKUP(A22,[1]Sheet1!$A$2:$F$379,5,0)</f>
        <v>728±2</v>
      </c>
      <c r="U22" s="16">
        <f>VLOOKUP(A22,[1]Sheet1!$A$2:$F$379,6,0)</f>
        <v>0</v>
      </c>
      <c r="V22" s="16"/>
      <c r="W22" s="16"/>
      <c r="X22" s="16"/>
      <c r="Y22" s="18" t="s">
        <v>1282</v>
      </c>
    </row>
    <row r="23" spans="1:25" s="18" customFormat="1" x14ac:dyDescent="0.25">
      <c r="A23" s="13" t="s">
        <v>957</v>
      </c>
      <c r="B23" s="14" t="str">
        <f>VLOOKUP(A23,[1]Sheet1!$A$2:$F$379,2,0)</f>
        <v>44348-E0160</v>
      </c>
      <c r="C23" s="14" t="s">
        <v>237</v>
      </c>
      <c r="D23" s="14" t="s">
        <v>1250</v>
      </c>
      <c r="E23" s="15">
        <v>353.74</v>
      </c>
      <c r="F23" s="14" t="s">
        <v>1250</v>
      </c>
      <c r="G23" s="15">
        <v>363.86</v>
      </c>
      <c r="H23" s="14"/>
      <c r="I23" s="14"/>
      <c r="J23" s="15">
        <f t="shared" si="1"/>
        <v>717.6</v>
      </c>
      <c r="K23" s="14" t="s">
        <v>1265</v>
      </c>
      <c r="L23" s="15">
        <v>17.55</v>
      </c>
      <c r="M23" s="15">
        <f t="shared" si="0"/>
        <v>735.15000000000009</v>
      </c>
      <c r="N23" s="14" t="str">
        <f>VLOOKUP(A23,[2]Sheet1!$B$4:$F$352,3,0)</f>
        <v>CHS2L</v>
      </c>
      <c r="O23" s="16">
        <f>VLOOKUP(A23,[2]Sheet1!$B$4:$F$352,4,0)</f>
        <v>0</v>
      </c>
      <c r="P23" s="16"/>
      <c r="Q23" s="16">
        <f>VLOOKUP(A23,[2]Sheet1!$B$4:$F$352,4,0)</f>
        <v>0</v>
      </c>
      <c r="R23" s="17">
        <f>VLOOKUP(A23,[1]Sheet1!$A$2:$F$379,3,0)</f>
        <v>19</v>
      </c>
      <c r="S23" s="16">
        <f>VLOOKUP(A23,[1]Sheet1!$A$2:$F$379,4,0)</f>
        <v>21</v>
      </c>
      <c r="T23" s="16">
        <f>VLOOKUP(A23,[1]Sheet1!$A$2:$F$379,5,0)</f>
        <v>1000</v>
      </c>
      <c r="U23" s="16"/>
      <c r="V23" s="16"/>
      <c r="W23" s="16"/>
      <c r="X23" s="16"/>
      <c r="Y23" s="18" t="s">
        <v>1281</v>
      </c>
    </row>
    <row r="24" spans="1:25" s="18" customFormat="1" x14ac:dyDescent="0.25">
      <c r="A24" s="13" t="s">
        <v>1094</v>
      </c>
      <c r="B24" s="14" t="str">
        <f>VLOOKUP(A24,[1]Sheet1!$A$2:$F$379,2,0)</f>
        <v>44771-2380A</v>
      </c>
      <c r="C24" s="14" t="s">
        <v>566</v>
      </c>
      <c r="D24" s="14" t="s">
        <v>1244</v>
      </c>
      <c r="E24" s="15">
        <v>25</v>
      </c>
      <c r="F24" s="14" t="s">
        <v>1245</v>
      </c>
      <c r="G24" s="15">
        <v>4.12</v>
      </c>
      <c r="H24" s="14"/>
      <c r="I24" s="14"/>
      <c r="J24" s="15">
        <f t="shared" si="1"/>
        <v>29.12</v>
      </c>
      <c r="K24" s="14"/>
      <c r="L24" s="14"/>
      <c r="M24" s="15">
        <f t="shared" si="0"/>
        <v>29.12</v>
      </c>
      <c r="N24" s="14" t="str">
        <f>VLOOKUP(A24,[2]Sheet1!$B$4:$F$352,3,0)</f>
        <v>DL1</v>
      </c>
      <c r="O24" s="16">
        <f>VLOOKUP(A24,[2]Sheet1!$B$4:$F$352,4,0)</f>
        <v>0</v>
      </c>
      <c r="P24" s="16"/>
      <c r="Q24" s="16">
        <f>VLOOKUP(A24,[2]Sheet1!$B$4:$F$352,4,0)</f>
        <v>0</v>
      </c>
      <c r="R24" s="17">
        <f>VLOOKUP(A24,[1]Sheet1!$A$2:$F$379,3,0)</f>
        <v>3.5</v>
      </c>
      <c r="S24" s="16">
        <f>VLOOKUP(A24,[1]Sheet1!$A$2:$F$379,4,0)</f>
        <v>7.5</v>
      </c>
      <c r="T24" s="16" t="str">
        <f>VLOOKUP(A24,[1]Sheet1!$A$2:$F$379,5,0)</f>
        <v>662±2</v>
      </c>
      <c r="U24" s="16">
        <f>VLOOKUP(A24,[1]Sheet1!$A$2:$F$379,6,0)</f>
        <v>0</v>
      </c>
      <c r="V24" s="16"/>
      <c r="W24" s="16"/>
      <c r="X24" s="16"/>
      <c r="Y24" s="18" t="s">
        <v>1280</v>
      </c>
    </row>
    <row r="25" spans="1:25" s="18" customFormat="1" x14ac:dyDescent="0.25">
      <c r="A25" s="13" t="s">
        <v>936</v>
      </c>
      <c r="B25" s="14" t="str">
        <f>VLOOKUP(A25,[1]Sheet1!$A$2:$F$379,2,0)</f>
        <v>44776-F1010</v>
      </c>
      <c r="C25" s="14" t="s">
        <v>158</v>
      </c>
      <c r="D25" s="14" t="s">
        <v>1224</v>
      </c>
      <c r="E25" s="15">
        <v>17.66</v>
      </c>
      <c r="F25" s="14" t="s">
        <v>1225</v>
      </c>
      <c r="G25" s="15">
        <v>14.44</v>
      </c>
      <c r="H25" s="14" t="s">
        <v>1226</v>
      </c>
      <c r="I25" s="15">
        <v>39.409999999999997</v>
      </c>
      <c r="J25" s="15">
        <f t="shared" si="1"/>
        <v>71.509999999999991</v>
      </c>
      <c r="K25" s="14" t="s">
        <v>1264</v>
      </c>
      <c r="L25" s="15">
        <v>1.75</v>
      </c>
      <c r="M25" s="15">
        <f t="shared" si="0"/>
        <v>73.259999999999991</v>
      </c>
      <c r="N25" s="14" t="str">
        <f>VLOOKUP(A25,[2]Sheet1!$B$4:$F$352,3,0)</f>
        <v>CHS3L</v>
      </c>
      <c r="O25" s="16">
        <f>VLOOKUP(A25,[2]Sheet1!$B$4:$F$352,4,0)</f>
        <v>0</v>
      </c>
      <c r="P25" s="16"/>
      <c r="Q25" s="16">
        <f>VLOOKUP(A25,[2]Sheet1!$B$4:$F$352,4,0)</f>
        <v>0</v>
      </c>
      <c r="R25" s="17">
        <f>VLOOKUP(A25,[1]Sheet1!$A$2:$F$379,3,0)</f>
        <v>8.73</v>
      </c>
      <c r="S25" s="16">
        <f>VLOOKUP(A25,[1]Sheet1!$A$2:$F$379,4,0)</f>
        <v>17.46</v>
      </c>
      <c r="T25" s="16">
        <f>VLOOKUP(A25,[1]Sheet1!$A$2:$F$379,5,0)</f>
        <v>315</v>
      </c>
      <c r="U25" s="16" t="str">
        <f>VLOOKUP(A25,[1]Sheet1!$A$2:$F$379,6,0)</f>
        <v>309-311</v>
      </c>
      <c r="V25" s="16"/>
      <c r="W25" s="16"/>
      <c r="X25" s="16"/>
      <c r="Y25" s="18" t="s">
        <v>1279</v>
      </c>
    </row>
    <row r="26" spans="1:25" s="18" customFormat="1" x14ac:dyDescent="0.25">
      <c r="A26" s="13" t="s">
        <v>974</v>
      </c>
      <c r="B26" s="14" t="str">
        <f>VLOOKUP(A26,[1]Sheet1!$A$2:$F$379,2,0)</f>
        <v>44771-YX010</v>
      </c>
      <c r="C26" s="14" t="s">
        <v>285</v>
      </c>
      <c r="D26" s="14" t="s">
        <v>1239</v>
      </c>
      <c r="E26" s="15">
        <v>23.4</v>
      </c>
      <c r="F26" s="14" t="s">
        <v>1240</v>
      </c>
      <c r="G26" s="15">
        <v>13.78</v>
      </c>
      <c r="H26" s="14" t="s">
        <v>1241</v>
      </c>
      <c r="I26" s="15">
        <v>49.74</v>
      </c>
      <c r="J26" s="15">
        <f t="shared" si="1"/>
        <v>86.92</v>
      </c>
      <c r="K26" s="14" t="s">
        <v>1264</v>
      </c>
      <c r="L26" s="15">
        <v>2.02</v>
      </c>
      <c r="M26" s="15">
        <f t="shared" si="0"/>
        <v>88.94</v>
      </c>
      <c r="N26" s="14" t="str">
        <f>VLOOKUP(A26,[2]Sheet1!$B$4:$F$352,3,0)</f>
        <v>CHS3L</v>
      </c>
      <c r="O26" s="16">
        <f>VLOOKUP(A26,[2]Sheet1!$B$4:$F$352,4,0)</f>
        <v>0</v>
      </c>
      <c r="P26" s="16"/>
      <c r="Q26" s="16">
        <f>VLOOKUP(A26,[2]Sheet1!$B$4:$F$352,4,0)</f>
        <v>0</v>
      </c>
      <c r="R26" s="17">
        <f>VLOOKUP(A26,[1]Sheet1!$A$2:$F$379,3,0)</f>
        <v>8.73</v>
      </c>
      <c r="S26" s="16">
        <f>VLOOKUP(A26,[1]Sheet1!$A$2:$F$379,4,0)</f>
        <v>17.46</v>
      </c>
      <c r="T26" s="16">
        <f>VLOOKUP(A26,[1]Sheet1!$A$2:$F$379,5,0)</f>
        <v>430</v>
      </c>
      <c r="U26" s="16" t="str">
        <f>VLOOKUP(A26,[1]Sheet1!$A$2:$F$379,6,0)</f>
        <v>424-425</v>
      </c>
      <c r="V26" s="16"/>
      <c r="W26" s="16"/>
      <c r="X26" s="16"/>
      <c r="Y26" s="18" t="s">
        <v>1278</v>
      </c>
    </row>
    <row r="27" spans="1:25" s="18" customFormat="1" x14ac:dyDescent="0.25">
      <c r="A27" s="13" t="s">
        <v>974</v>
      </c>
      <c r="B27" s="14" t="str">
        <f>VLOOKUP(A27,[1]Sheet1!$A$2:$F$379,2,0)</f>
        <v>44771-YX010</v>
      </c>
      <c r="C27" s="14" t="s">
        <v>285</v>
      </c>
      <c r="D27" s="14" t="s">
        <v>1239</v>
      </c>
      <c r="E27" s="15">
        <v>23.4</v>
      </c>
      <c r="F27" s="14" t="s">
        <v>1240</v>
      </c>
      <c r="G27" s="15">
        <v>13.78</v>
      </c>
      <c r="H27" s="14" t="s">
        <v>1241</v>
      </c>
      <c r="I27" s="15">
        <v>49.74</v>
      </c>
      <c r="J27" s="15">
        <f t="shared" si="1"/>
        <v>86.92</v>
      </c>
      <c r="K27" s="14" t="s">
        <v>1264</v>
      </c>
      <c r="L27" s="15">
        <v>2.02</v>
      </c>
      <c r="M27" s="15">
        <f t="shared" si="0"/>
        <v>88.94</v>
      </c>
      <c r="N27" s="14" t="str">
        <f>VLOOKUP(A27,[2]Sheet1!$B$4:$F$352,3,0)</f>
        <v>CHS3L</v>
      </c>
      <c r="O27" s="16">
        <f>VLOOKUP(A27,[2]Sheet1!$B$4:$F$352,4,0)</f>
        <v>0</v>
      </c>
      <c r="P27" s="16"/>
      <c r="Q27" s="16">
        <f>VLOOKUP(A27,[2]Sheet1!$B$4:$F$352,4,0)</f>
        <v>0</v>
      </c>
      <c r="R27" s="17">
        <f>VLOOKUP(A27,[1]Sheet1!$A$2:$F$379,3,0)</f>
        <v>8.73</v>
      </c>
      <c r="S27" s="16">
        <f>VLOOKUP(A27,[1]Sheet1!$A$2:$F$379,4,0)</f>
        <v>17.46</v>
      </c>
      <c r="T27" s="16">
        <f>VLOOKUP(A27,[1]Sheet1!$A$2:$F$379,5,0)</f>
        <v>430</v>
      </c>
      <c r="U27" s="16" t="str">
        <f>VLOOKUP(A27,[1]Sheet1!$A$2:$F$379,6,0)</f>
        <v>424-425</v>
      </c>
      <c r="V27" s="16"/>
      <c r="W27" s="16"/>
      <c r="X27" s="16"/>
      <c r="Y27" s="18" t="s">
        <v>1279</v>
      </c>
    </row>
    <row r="28" spans="1:25" s="18" customFormat="1" x14ac:dyDescent="0.25">
      <c r="A28" s="13" t="s">
        <v>974</v>
      </c>
      <c r="B28" s="14" t="str">
        <f>VLOOKUP(A28,[1]Sheet1!$A$2:$F$379,2,0)</f>
        <v>44771-YX010</v>
      </c>
      <c r="C28" s="14" t="s">
        <v>285</v>
      </c>
      <c r="D28" s="14" t="s">
        <v>1239</v>
      </c>
      <c r="E28" s="15">
        <v>23.34</v>
      </c>
      <c r="F28" s="14" t="s">
        <v>1225</v>
      </c>
      <c r="G28" s="15">
        <v>16.84</v>
      </c>
      <c r="H28" s="14" t="s">
        <v>1226</v>
      </c>
      <c r="I28" s="15">
        <v>45.96</v>
      </c>
      <c r="J28" s="15">
        <f t="shared" si="1"/>
        <v>86.14</v>
      </c>
      <c r="K28" s="14" t="s">
        <v>1264</v>
      </c>
      <c r="L28" s="15">
        <v>2.02</v>
      </c>
      <c r="M28" s="15">
        <f t="shared" si="0"/>
        <v>88.160000000000011</v>
      </c>
      <c r="N28" s="14" t="str">
        <f>VLOOKUP(A28,[2]Sheet1!$B$4:$F$352,3,0)</f>
        <v>CHS3L</v>
      </c>
      <c r="O28" s="16">
        <f>VLOOKUP(A28,[2]Sheet1!$B$4:$F$352,4,0)</f>
        <v>0</v>
      </c>
      <c r="P28" s="16"/>
      <c r="Q28" s="16">
        <f>VLOOKUP(A28,[2]Sheet1!$B$4:$F$352,4,0)</f>
        <v>0</v>
      </c>
      <c r="R28" s="17">
        <f>VLOOKUP(A28,[1]Sheet1!$A$2:$F$379,3,0)</f>
        <v>8.73</v>
      </c>
      <c r="S28" s="16">
        <f>VLOOKUP(A28,[1]Sheet1!$A$2:$F$379,4,0)</f>
        <v>17.46</v>
      </c>
      <c r="T28" s="16">
        <f>VLOOKUP(A28,[1]Sheet1!$A$2:$F$379,5,0)</f>
        <v>430</v>
      </c>
      <c r="U28" s="16"/>
      <c r="V28" s="16"/>
      <c r="W28" s="16"/>
      <c r="X28" s="16"/>
      <c r="Y28" s="18" t="s">
        <v>1276</v>
      </c>
    </row>
    <row r="29" spans="1:25" s="18" customFormat="1" x14ac:dyDescent="0.25">
      <c r="A29" s="13" t="s">
        <v>974</v>
      </c>
      <c r="B29" s="14" t="str">
        <f>VLOOKUP(A29,[1]Sheet1!$A$2:$F$379,2,0)</f>
        <v>44771-YX010</v>
      </c>
      <c r="C29" s="14" t="s">
        <v>285</v>
      </c>
      <c r="D29" s="14" t="s">
        <v>1239</v>
      </c>
      <c r="E29" s="15">
        <v>23.34</v>
      </c>
      <c r="F29" s="14" t="s">
        <v>1225</v>
      </c>
      <c r="G29" s="15">
        <v>16.84</v>
      </c>
      <c r="H29" s="14" t="s">
        <v>1226</v>
      </c>
      <c r="I29" s="15">
        <v>45.96</v>
      </c>
      <c r="J29" s="15">
        <f t="shared" si="1"/>
        <v>86.14</v>
      </c>
      <c r="K29" s="14" t="s">
        <v>1264</v>
      </c>
      <c r="L29" s="15">
        <v>2.02</v>
      </c>
      <c r="M29" s="15">
        <f t="shared" si="0"/>
        <v>88.160000000000011</v>
      </c>
      <c r="N29" s="14" t="str">
        <f>VLOOKUP(A29,[2]Sheet1!$B$4:$F$352,3,0)</f>
        <v>CHS3L</v>
      </c>
      <c r="O29" s="16">
        <f>VLOOKUP(A29,[2]Sheet1!$B$4:$F$352,4,0)</f>
        <v>0</v>
      </c>
      <c r="P29" s="16"/>
      <c r="Q29" s="16">
        <f>VLOOKUP(A29,[2]Sheet1!$B$4:$F$352,4,0)</f>
        <v>0</v>
      </c>
      <c r="R29" s="17">
        <f>VLOOKUP(A29,[1]Sheet1!$A$2:$F$379,3,0)</f>
        <v>8.73</v>
      </c>
      <c r="S29" s="16">
        <f>VLOOKUP(A29,[1]Sheet1!$A$2:$F$379,4,0)</f>
        <v>17.46</v>
      </c>
      <c r="T29" s="16">
        <f>VLOOKUP(A29,[1]Sheet1!$A$2:$F$379,5,0)</f>
        <v>430</v>
      </c>
      <c r="U29" s="16" t="str">
        <f>VLOOKUP(A29,[1]Sheet1!$A$2:$F$379,6,0)</f>
        <v>424-425</v>
      </c>
      <c r="V29" s="16"/>
      <c r="W29" s="16"/>
      <c r="X29" s="16"/>
      <c r="Y29" s="18" t="s">
        <v>1278</v>
      </c>
    </row>
    <row r="30" spans="1:25" s="18" customFormat="1" x14ac:dyDescent="0.25">
      <c r="A30" s="13" t="s">
        <v>988</v>
      </c>
      <c r="B30" s="14" t="str">
        <f>VLOOKUP(A30,[1]Sheet1!$A$2:$F$379,2,0)</f>
        <v>44771-F1010</v>
      </c>
      <c r="C30" s="14" t="s">
        <v>315</v>
      </c>
      <c r="D30" s="14" t="s">
        <v>1224</v>
      </c>
      <c r="E30" s="15">
        <v>17.79</v>
      </c>
      <c r="F30" s="14" t="s">
        <v>1227</v>
      </c>
      <c r="G30" s="15">
        <v>6.32</v>
      </c>
      <c r="H30" s="14" t="s">
        <v>1228</v>
      </c>
      <c r="I30" s="15">
        <v>32.29</v>
      </c>
      <c r="J30" s="15">
        <f t="shared" si="1"/>
        <v>56.4</v>
      </c>
      <c r="K30" s="14" t="s">
        <v>1264</v>
      </c>
      <c r="L30" s="15">
        <v>1.43</v>
      </c>
      <c r="M30" s="15">
        <f t="shared" si="0"/>
        <v>57.83</v>
      </c>
      <c r="N30" s="14" t="str">
        <f>VLOOKUP(A30,[2]Sheet1!$B$4:$F$352,3,0)</f>
        <v>CHS3L</v>
      </c>
      <c r="O30" s="16">
        <f>VLOOKUP(A30,[2]Sheet1!$B$4:$F$352,4,0)</f>
        <v>2</v>
      </c>
      <c r="P30" s="16"/>
      <c r="Q30" s="16">
        <f>VLOOKUP(A30,[2]Sheet1!$B$4:$F$352,4,0)</f>
        <v>2</v>
      </c>
      <c r="R30" s="17">
        <f>VLOOKUP(A30,[1]Sheet1!$A$2:$F$379,3,0)</f>
        <v>8.73</v>
      </c>
      <c r="S30" s="16">
        <f>VLOOKUP(A30,[1]Sheet1!$A$2:$F$379,4,0)</f>
        <v>17.46</v>
      </c>
      <c r="T30" s="16">
        <f>VLOOKUP(A30,[1]Sheet1!$A$2:$F$379,5,0)</f>
        <v>245</v>
      </c>
      <c r="U30" s="16"/>
      <c r="V30" s="16"/>
      <c r="W30" s="16"/>
      <c r="X30" s="16"/>
      <c r="Y30" s="18" t="s">
        <v>1277</v>
      </c>
    </row>
    <row r="31" spans="1:25" s="18" customFormat="1" x14ac:dyDescent="0.25">
      <c r="A31" s="13" t="s">
        <v>987</v>
      </c>
      <c r="B31" s="14" t="str">
        <f>VLOOKUP(A31,[1]Sheet1!$A$2:$F$379,2,0)</f>
        <v>44773-F1010</v>
      </c>
      <c r="C31" s="14" t="s">
        <v>313</v>
      </c>
      <c r="D31" s="14" t="s">
        <v>1224</v>
      </c>
      <c r="E31" s="15">
        <v>14.5</v>
      </c>
      <c r="F31" s="14" t="s">
        <v>1227</v>
      </c>
      <c r="G31" s="15">
        <v>5.15</v>
      </c>
      <c r="H31" s="14" t="s">
        <v>1228</v>
      </c>
      <c r="I31" s="15">
        <v>26.31</v>
      </c>
      <c r="J31" s="15">
        <f t="shared" si="1"/>
        <v>45.959999999999994</v>
      </c>
      <c r="K31" s="14" t="s">
        <v>1264</v>
      </c>
      <c r="L31" s="15">
        <v>1.17</v>
      </c>
      <c r="M31" s="15">
        <f t="shared" si="0"/>
        <v>47.129999999999995</v>
      </c>
      <c r="N31" s="14" t="str">
        <f>VLOOKUP(A31,[2]Sheet1!$B$4:$F$352,3,0)</f>
        <v>CHS3L</v>
      </c>
      <c r="O31" s="16">
        <f>VLOOKUP(A31,[2]Sheet1!$B$4:$F$352,4,0)</f>
        <v>2</v>
      </c>
      <c r="P31" s="16"/>
      <c r="Q31" s="16">
        <f>VLOOKUP(A31,[2]Sheet1!$B$4:$F$352,4,0)</f>
        <v>2</v>
      </c>
      <c r="R31" s="17">
        <f>VLOOKUP(A31,[1]Sheet1!$A$2:$F$379,3,0)</f>
        <v>8.73</v>
      </c>
      <c r="S31" s="16">
        <f>VLOOKUP(A31,[1]Sheet1!$A$2:$F$379,4,0)</f>
        <v>17.46</v>
      </c>
      <c r="T31" s="16">
        <f>VLOOKUP(A31,[1]Sheet1!$A$2:$F$379,5,0)</f>
        <v>195</v>
      </c>
      <c r="U31" s="16"/>
      <c r="V31" s="16"/>
      <c r="W31" s="16"/>
      <c r="X31" s="16"/>
      <c r="Y31" s="18" t="s">
        <v>1276</v>
      </c>
    </row>
    <row r="32" spans="1:25" s="18" customFormat="1" x14ac:dyDescent="0.25">
      <c r="A32" s="13" t="s">
        <v>997</v>
      </c>
      <c r="B32" s="14" t="str">
        <f>VLOOKUP(A32,[1]Sheet1!$A$2:$F$379,2,0)</f>
        <v>44773-F1020</v>
      </c>
      <c r="C32" s="14" t="s">
        <v>333</v>
      </c>
      <c r="D32" s="14" t="s">
        <v>1224</v>
      </c>
      <c r="E32" s="15">
        <v>10.54</v>
      </c>
      <c r="F32" s="14" t="s">
        <v>1227</v>
      </c>
      <c r="G32" s="15">
        <v>3.74</v>
      </c>
      <c r="H32" s="14" t="s">
        <v>1228</v>
      </c>
      <c r="I32" s="15">
        <v>19.14</v>
      </c>
      <c r="J32" s="15">
        <f t="shared" si="1"/>
        <v>33.42</v>
      </c>
      <c r="K32" s="14" t="s">
        <v>1264</v>
      </c>
      <c r="L32" s="15">
        <v>0.85</v>
      </c>
      <c r="M32" s="15">
        <f t="shared" si="0"/>
        <v>34.270000000000003</v>
      </c>
      <c r="N32" s="14" t="str">
        <f>VLOOKUP(A32,[2]Sheet1!$B$4:$F$352,3,0)</f>
        <v>CHS3L</v>
      </c>
      <c r="O32" s="16">
        <f>VLOOKUP(A32,[2]Sheet1!$B$4:$F$352,4,0)</f>
        <v>2</v>
      </c>
      <c r="P32" s="16"/>
      <c r="Q32" s="16">
        <f>VLOOKUP(A32,[2]Sheet1!$B$4:$F$352,4,0)</f>
        <v>2</v>
      </c>
      <c r="R32" s="17">
        <f>VLOOKUP(A32,[1]Sheet1!$A$2:$F$379,3,0)</f>
        <v>8.73</v>
      </c>
      <c r="S32" s="16">
        <f>VLOOKUP(A32,[1]Sheet1!$A$2:$F$379,4,0)</f>
        <v>17.46</v>
      </c>
      <c r="T32" s="16">
        <f>VLOOKUP(A32,[1]Sheet1!$A$2:$F$379,5,0)</f>
        <v>135</v>
      </c>
      <c r="U32" s="16"/>
      <c r="V32" s="16"/>
      <c r="W32" s="16"/>
      <c r="X32" s="16"/>
      <c r="Y32" s="18" t="s">
        <v>1275</v>
      </c>
    </row>
    <row r="33" spans="1:26" s="18" customFormat="1" x14ac:dyDescent="0.25">
      <c r="A33" s="13" t="s">
        <v>1020</v>
      </c>
      <c r="B33" s="14" t="str">
        <f>VLOOKUP(A33,[1]Sheet1!$A$2:$F$379,2,0)</f>
        <v>77259-E0190</v>
      </c>
      <c r="C33" s="14" t="s">
        <v>390</v>
      </c>
      <c r="D33" s="14" t="s">
        <v>1248</v>
      </c>
      <c r="E33" s="15">
        <v>320.89999999999998</v>
      </c>
      <c r="F33" s="14" t="s">
        <v>1249</v>
      </c>
      <c r="G33" s="15">
        <v>738.08</v>
      </c>
      <c r="H33" s="14"/>
      <c r="I33" s="14"/>
      <c r="J33" s="15">
        <f t="shared" si="1"/>
        <v>1058.98</v>
      </c>
      <c r="K33" s="14" t="s">
        <v>1263</v>
      </c>
      <c r="L33" s="15">
        <v>31.02</v>
      </c>
      <c r="M33" s="15">
        <f t="shared" si="0"/>
        <v>1090</v>
      </c>
      <c r="N33" s="14" t="str">
        <f>VLOOKUP(A33,[2]Sheet1!$B$4:$F$352,3,0)</f>
        <v>CHS3L</v>
      </c>
      <c r="O33" s="16">
        <f>VLOOKUP(A33,[2]Sheet1!$B$4:$F$352,4,0)</f>
        <v>1</v>
      </c>
      <c r="P33" s="16"/>
      <c r="Q33" s="16">
        <f>VLOOKUP(A33,[2]Sheet1!$B$4:$F$352,4,0)</f>
        <v>1</v>
      </c>
      <c r="R33" s="17">
        <f>VLOOKUP(A33,[1]Sheet1!$A$2:$F$379,3,0)</f>
        <v>9.5</v>
      </c>
      <c r="S33" s="16">
        <f>VLOOKUP(A33,[1]Sheet1!$A$2:$F$379,4,0)</f>
        <v>17</v>
      </c>
      <c r="T33" s="16">
        <f>VLOOKUP(A33,[1]Sheet1!$A$2:$F$379,5,0)</f>
        <v>4850</v>
      </c>
      <c r="U33" s="16"/>
      <c r="V33" s="16"/>
      <c r="W33" s="16"/>
      <c r="X33" s="16"/>
      <c r="Y33" s="18" t="s">
        <v>1275</v>
      </c>
    </row>
    <row r="34" spans="1:26" s="18" customFormat="1" x14ac:dyDescent="0.25">
      <c r="A34" s="13" t="s">
        <v>989</v>
      </c>
      <c r="B34" s="14" t="str">
        <f>VLOOKUP(A34,[1]Sheet1!$A$2:$F$379,2,0)</f>
        <v>44771-F1020</v>
      </c>
      <c r="C34" s="14" t="s">
        <v>317</v>
      </c>
      <c r="D34" s="14" t="s">
        <v>1224</v>
      </c>
      <c r="E34" s="15">
        <v>25.96</v>
      </c>
      <c r="F34" s="14" t="s">
        <v>1227</v>
      </c>
      <c r="G34" s="15">
        <v>9.2200000000000006</v>
      </c>
      <c r="H34" s="14" t="s">
        <v>1228</v>
      </c>
      <c r="I34" s="15">
        <v>47.12</v>
      </c>
      <c r="J34" s="15">
        <f t="shared" si="1"/>
        <v>82.3</v>
      </c>
      <c r="K34" s="14" t="s">
        <v>1264</v>
      </c>
      <c r="L34" s="15">
        <v>2.09</v>
      </c>
      <c r="M34" s="15">
        <f t="shared" si="0"/>
        <v>84.389999999999986</v>
      </c>
      <c r="N34" s="14" t="str">
        <f>VLOOKUP(A34,[2]Sheet1!$B$4:$F$352,3,0)</f>
        <v>CHS3L</v>
      </c>
      <c r="O34" s="16">
        <f>VLOOKUP(A34,[2]Sheet1!$B$4:$F$352,4,0)</f>
        <v>2</v>
      </c>
      <c r="P34" s="16"/>
      <c r="Q34" s="16">
        <f>VLOOKUP(A34,[2]Sheet1!$B$4:$F$352,4,0)</f>
        <v>2</v>
      </c>
      <c r="R34" s="17">
        <f>VLOOKUP(A34,[1]Sheet1!$A$2:$F$379,3,0)</f>
        <v>8.73</v>
      </c>
      <c r="S34" s="16">
        <f>VLOOKUP(A34,[1]Sheet1!$A$2:$F$379,4,0)</f>
        <v>17.46</v>
      </c>
      <c r="T34" s="16">
        <f>VLOOKUP(A34,[1]Sheet1!$A$2:$F$379,5,0)</f>
        <v>418</v>
      </c>
      <c r="U34" s="16"/>
      <c r="V34" s="16"/>
      <c r="W34" s="16"/>
      <c r="X34" s="16"/>
      <c r="Y34" s="18" t="s">
        <v>1275</v>
      </c>
    </row>
    <row r="35" spans="1:26" s="18" customFormat="1" x14ac:dyDescent="0.25">
      <c r="A35" s="13" t="s">
        <v>891</v>
      </c>
      <c r="B35" s="14" t="str">
        <f>VLOOKUP(A35,[1]Sheet1!$A$2:$F$379,2,0)</f>
        <v>MK515626</v>
      </c>
      <c r="C35" s="14" t="s">
        <v>20</v>
      </c>
      <c r="D35" s="14" t="s">
        <v>1220</v>
      </c>
      <c r="E35" s="15">
        <v>39.83</v>
      </c>
      <c r="F35" s="14"/>
      <c r="G35" s="14"/>
      <c r="H35" s="14"/>
      <c r="I35" s="14"/>
      <c r="J35" s="15">
        <f t="shared" si="1"/>
        <v>39.83</v>
      </c>
      <c r="K35" s="14"/>
      <c r="L35" s="14"/>
      <c r="M35" s="15">
        <f t="shared" si="0"/>
        <v>39.83</v>
      </c>
      <c r="N35" s="14" t="e">
        <f>VLOOKUP(A35,[2]Sheet1!$B$4:$F$352,3,0)</f>
        <v>#N/A</v>
      </c>
      <c r="O35" s="16" t="e">
        <f>VLOOKUP(A35,[2]Sheet1!$B$4:$F$352,4,0)</f>
        <v>#N/A</v>
      </c>
      <c r="P35" s="16"/>
      <c r="Q35" s="16" t="e">
        <f>VLOOKUP(A35,[2]Sheet1!$B$4:$F$352,4,0)</f>
        <v>#N/A</v>
      </c>
      <c r="R35" s="17">
        <f>VLOOKUP(A35,[1]Sheet1!$A$2:$F$379,3,0)</f>
        <v>7.5</v>
      </c>
      <c r="S35" s="16">
        <f>VLOOKUP(A35,[1]Sheet1!$A$2:$F$379,4,0)</f>
        <v>14.5</v>
      </c>
      <c r="T35" s="16" t="str">
        <f>VLOOKUP(A35,[1]Sheet1!$A$2:$F$379,5,0)</f>
        <v>293±2</v>
      </c>
      <c r="U35" s="16"/>
      <c r="V35" s="16"/>
      <c r="W35" s="16"/>
      <c r="X35" s="16"/>
      <c r="Y35" s="18" t="s">
        <v>1274</v>
      </c>
    </row>
    <row r="36" spans="1:26" s="18" customFormat="1" x14ac:dyDescent="0.25">
      <c r="A36" s="13" t="s">
        <v>892</v>
      </c>
      <c r="B36" s="14" t="str">
        <f>VLOOKUP(A36,[1]Sheet1!$A$2:$F$379,2,0)</f>
        <v>MK515628</v>
      </c>
      <c r="C36" s="14" t="s">
        <v>22</v>
      </c>
      <c r="D36" s="14" t="s">
        <v>1220</v>
      </c>
      <c r="E36" s="15">
        <v>49.95</v>
      </c>
      <c r="F36" s="14"/>
      <c r="G36" s="14"/>
      <c r="H36" s="14"/>
      <c r="I36" s="14"/>
      <c r="J36" s="15">
        <f t="shared" si="1"/>
        <v>49.95</v>
      </c>
      <c r="K36" s="14"/>
      <c r="L36" s="14"/>
      <c r="M36" s="15">
        <f t="shared" si="0"/>
        <v>49.95</v>
      </c>
      <c r="N36" s="14" t="e">
        <f>VLOOKUP(A36,[2]Sheet1!$B$4:$F$352,3,0)</f>
        <v>#N/A</v>
      </c>
      <c r="O36" s="16" t="e">
        <f>VLOOKUP(A36,[2]Sheet1!$B$4:$F$352,4,0)</f>
        <v>#N/A</v>
      </c>
      <c r="P36" s="16"/>
      <c r="Q36" s="16" t="e">
        <f>VLOOKUP(A36,[2]Sheet1!$B$4:$F$352,4,0)</f>
        <v>#N/A</v>
      </c>
      <c r="R36" s="17">
        <f>VLOOKUP(A36,[1]Sheet1!$A$2:$F$379,3,0)</f>
        <v>7.5</v>
      </c>
      <c r="S36" s="16">
        <f>VLOOKUP(A36,[1]Sheet1!$A$2:$F$379,4,0)</f>
        <v>14.5</v>
      </c>
      <c r="T36" s="16" t="str">
        <f>VLOOKUP(A36,[1]Sheet1!$A$2:$F$379,5,0)</f>
        <v>368±2</v>
      </c>
      <c r="U36" s="16">
        <f>VLOOKUP(A36,[1]Sheet1!$A$2:$F$379,6,0)</f>
        <v>0</v>
      </c>
      <c r="V36" s="16"/>
      <c r="W36" s="16"/>
      <c r="X36" s="16"/>
      <c r="Y36" s="18" t="str">
        <f>VLOOKUP(A36,[3]Combi!$A$1:$B$304,2,0)</f>
        <v>SOP/PROD/HOSE/SPS/1/12</v>
      </c>
    </row>
    <row r="37" spans="1:26" s="18" customFormat="1" x14ac:dyDescent="0.25">
      <c r="A37" s="13" t="s">
        <v>890</v>
      </c>
      <c r="B37" s="14" t="str">
        <f>VLOOKUP(A37,[1]Sheet1!$A$2:$F$379,2,0)</f>
        <v>MK551876</v>
      </c>
      <c r="C37" s="14" t="s">
        <v>16</v>
      </c>
      <c r="D37" s="14" t="s">
        <v>1220</v>
      </c>
      <c r="E37" s="15">
        <v>47.25</v>
      </c>
      <c r="F37" s="14"/>
      <c r="G37" s="14"/>
      <c r="H37" s="14"/>
      <c r="I37" s="14"/>
      <c r="J37" s="15">
        <f t="shared" si="1"/>
        <v>47.25</v>
      </c>
      <c r="K37" s="14"/>
      <c r="L37" s="14"/>
      <c r="M37" s="15">
        <f t="shared" si="0"/>
        <v>47.25</v>
      </c>
      <c r="N37" s="14" t="e">
        <f>VLOOKUP(A37,[2]Sheet1!$B$4:$F$352,3,0)</f>
        <v>#N/A</v>
      </c>
      <c r="O37" s="16" t="e">
        <f>VLOOKUP(A37,[2]Sheet1!$B$4:$F$352,4,0)</f>
        <v>#N/A</v>
      </c>
      <c r="P37" s="16"/>
      <c r="Q37" s="16" t="e">
        <f>VLOOKUP(A37,[2]Sheet1!$B$4:$F$352,4,0)</f>
        <v>#N/A</v>
      </c>
      <c r="R37" s="17">
        <f>VLOOKUP(A37,[1]Sheet1!$A$2:$F$379,3,0)</f>
        <v>7.5</v>
      </c>
      <c r="S37" s="16">
        <f>VLOOKUP(A37,[1]Sheet1!$A$2:$F$379,4,0)</f>
        <v>14.5</v>
      </c>
      <c r="T37" s="16" t="str">
        <f>VLOOKUP(A37,[1]Sheet1!$A$2:$F$379,5,0)</f>
        <v>358±2</v>
      </c>
      <c r="U37" s="16">
        <f>VLOOKUP(A37,[1]Sheet1!$A$2:$F$379,6,0)</f>
        <v>0</v>
      </c>
      <c r="V37" s="16"/>
      <c r="W37" s="16"/>
      <c r="X37" s="16"/>
      <c r="Y37" s="18" t="str">
        <f>VLOOKUP(A37,[3]Combi!$A$1:$B$304,2,0)</f>
        <v>SOP/PROD/HOSE/SPS/1/12</v>
      </c>
    </row>
    <row r="38" spans="1:26" s="18" customFormat="1" x14ac:dyDescent="0.25">
      <c r="A38" s="13" t="s">
        <v>1044</v>
      </c>
      <c r="B38" s="14" t="str">
        <f>VLOOKUP(A38,[1]Sheet1!$A$2:$F$379,2,0)</f>
        <v>A4300781202</v>
      </c>
      <c r="C38" s="14" t="s">
        <v>448</v>
      </c>
      <c r="D38" s="14" t="s">
        <v>1248</v>
      </c>
      <c r="E38" s="15">
        <v>5.48</v>
      </c>
      <c r="F38" s="14" t="s">
        <v>1232</v>
      </c>
      <c r="G38" s="15">
        <v>12.22</v>
      </c>
      <c r="H38" s="14" t="s">
        <v>1233</v>
      </c>
      <c r="I38" s="15">
        <v>11.81</v>
      </c>
      <c r="J38" s="15">
        <f t="shared" si="1"/>
        <v>29.510000000000005</v>
      </c>
      <c r="K38" s="14" t="s">
        <v>1263</v>
      </c>
      <c r="L38" s="15">
        <v>0.04</v>
      </c>
      <c r="M38" s="15">
        <f t="shared" si="0"/>
        <v>29.55</v>
      </c>
      <c r="N38" s="14" t="str">
        <f>VLOOKUP(A38,[2]Sheet1!$B$4:$F$352,3,0)</f>
        <v>CHS3L</v>
      </c>
      <c r="O38" s="16">
        <f>VLOOKUP(A38,[2]Sheet1!$B$4:$F$352,4,0)</f>
        <v>1</v>
      </c>
      <c r="P38" s="16"/>
      <c r="Q38" s="16">
        <f>VLOOKUP(A38,[2]Sheet1!$B$4:$F$352,4,0)</f>
        <v>1</v>
      </c>
      <c r="R38" s="17">
        <f>VLOOKUP(A38,[1]Sheet1!$A$2:$F$379,3,0)</f>
        <v>11.5</v>
      </c>
      <c r="S38" s="16">
        <f>VLOOKUP(A38,[1]Sheet1!$A$2:$F$379,4,0)</f>
        <v>18.3</v>
      </c>
      <c r="T38" s="16">
        <f>VLOOKUP(A38,[1]Sheet1!$A$2:$F$379,5,0)</f>
        <v>300</v>
      </c>
      <c r="U38" s="16" t="str">
        <f>VLOOKUP(A38,[1]Sheet1!$A$2:$F$379,6,0)</f>
        <v>238±1</v>
      </c>
      <c r="V38" s="16"/>
      <c r="W38" s="16"/>
      <c r="X38" s="16"/>
      <c r="Y38" s="18" t="str">
        <f>VLOOKUP(A38,[3]Combi!$A$1:$B$304,2,0)</f>
        <v>SOP/PROD/HOSE/SPS/3/16</v>
      </c>
    </row>
    <row r="39" spans="1:26" s="18" customFormat="1" x14ac:dyDescent="0.25">
      <c r="A39" s="13" t="s">
        <v>958</v>
      </c>
      <c r="B39" s="14" t="str">
        <f>VLOOKUP(A39,[1]Sheet1!$A$2:$F$379,2,0)</f>
        <v>A4301870082</v>
      </c>
      <c r="C39" s="14" t="s">
        <v>240</v>
      </c>
      <c r="D39" s="14" t="s">
        <v>1248</v>
      </c>
      <c r="E39" s="15">
        <v>40</v>
      </c>
      <c r="F39" s="14"/>
      <c r="G39" s="14"/>
      <c r="H39" s="14"/>
      <c r="I39" s="14"/>
      <c r="J39" s="15">
        <f t="shared" si="1"/>
        <v>40</v>
      </c>
      <c r="K39" s="14"/>
      <c r="L39" s="14"/>
      <c r="M39" s="15">
        <f t="shared" si="0"/>
        <v>40</v>
      </c>
      <c r="N39" s="14" t="str">
        <f>VLOOKUP(A39,[2]Sheet1!$B$4:$F$352,3,0)</f>
        <v>DL2</v>
      </c>
      <c r="O39" s="16">
        <f>VLOOKUP(A39,[2]Sheet1!$B$4:$F$352,4,0)</f>
        <v>1</v>
      </c>
      <c r="P39" s="16"/>
      <c r="Q39" s="16">
        <f>VLOOKUP(A39,[2]Sheet1!$B$4:$F$352,4,0)</f>
        <v>1</v>
      </c>
      <c r="R39" s="17">
        <f>VLOOKUP(A39,[1]Sheet1!$A$2:$F$379,3,0)</f>
        <v>15.5</v>
      </c>
      <c r="S39" s="16">
        <f>VLOOKUP(A39,[1]Sheet1!$A$2:$F$379,4,0)</f>
        <v>21.5</v>
      </c>
      <c r="T39" s="16" t="str">
        <f>VLOOKUP(A39,[1]Sheet1!$A$2:$F$379,5,0)</f>
        <v>450±2</v>
      </c>
      <c r="U39" s="16">
        <f>VLOOKUP(A39,[1]Sheet1!$A$2:$F$379,6,0)</f>
        <v>0</v>
      </c>
      <c r="V39" s="16"/>
      <c r="W39" s="16"/>
      <c r="X39" s="16"/>
      <c r="Y39" s="18" t="e">
        <f>VLOOKUP(A39,[3]Combi!$A$1:$B$304,2,0)</f>
        <v>#N/A</v>
      </c>
      <c r="Z39" s="22" t="s">
        <v>1291</v>
      </c>
    </row>
    <row r="40" spans="1:26" s="18" customFormat="1" x14ac:dyDescent="0.25">
      <c r="A40" s="13" t="s">
        <v>1111</v>
      </c>
      <c r="B40" s="14" t="str">
        <f>VLOOKUP(A40,[1]Sheet1!$A$2:$F$379,2,0)</f>
        <v>23827-BZ010</v>
      </c>
      <c r="C40" s="14" t="s">
        <v>629</v>
      </c>
      <c r="D40" s="14" t="s">
        <v>1246</v>
      </c>
      <c r="E40" s="15">
        <v>25.24</v>
      </c>
      <c r="F40" s="14" t="s">
        <v>1245</v>
      </c>
      <c r="G40" s="15">
        <v>4.59</v>
      </c>
      <c r="H40" s="14"/>
      <c r="I40" s="14"/>
      <c r="J40" s="15">
        <f t="shared" si="1"/>
        <v>29.83</v>
      </c>
      <c r="K40" s="14"/>
      <c r="L40" s="14"/>
      <c r="M40" s="15">
        <f t="shared" si="0"/>
        <v>29.83</v>
      </c>
      <c r="N40" s="14" t="str">
        <f>VLOOKUP(A40,[2]Sheet1!$B$4:$F$352,3,0)</f>
        <v>DL1</v>
      </c>
      <c r="O40" s="16">
        <f>VLOOKUP(A40,[2]Sheet1!$B$4:$F$352,4,0)</f>
        <v>0</v>
      </c>
      <c r="P40" s="16"/>
      <c r="Q40" s="16">
        <f>VLOOKUP(A40,[2]Sheet1!$B$4:$F$352,4,0)</f>
        <v>0</v>
      </c>
      <c r="R40" s="17">
        <f>VLOOKUP(A40,[1]Sheet1!$A$2:$F$379,3,0)</f>
        <v>5.4</v>
      </c>
      <c r="S40" s="16">
        <f>VLOOKUP(A40,[1]Sheet1!$A$2:$F$379,4,0)</f>
        <v>10.4</v>
      </c>
      <c r="T40" s="16" t="str">
        <f>VLOOKUP(A40,[1]Sheet1!$A$2:$F$379,5,0)</f>
        <v>413±2</v>
      </c>
      <c r="U40" s="16" t="str">
        <f>VLOOKUP(A40,[1]Sheet1!$A$2:$F$379,6,0)</f>
        <v>373-377</v>
      </c>
      <c r="V40" s="16"/>
      <c r="W40" s="16"/>
      <c r="X40" s="16"/>
      <c r="Y40" s="18" t="str">
        <f>VLOOKUP(A40,[3]Combi!$A$1:$B$304,2,0)</f>
        <v>SOP/PROD/HOSE/SPS/1/5</v>
      </c>
    </row>
    <row r="41" spans="1:26" s="18" customFormat="1" x14ac:dyDescent="0.25">
      <c r="A41" s="13" t="s">
        <v>1109</v>
      </c>
      <c r="B41" s="14" t="str">
        <f>VLOOKUP(A41,[1]Sheet1!$A$2:$F$379,2,0)</f>
        <v>77754-BZ080</v>
      </c>
      <c r="C41" s="14" t="s">
        <v>623</v>
      </c>
      <c r="D41" s="14" t="s">
        <v>1246</v>
      </c>
      <c r="E41" s="15">
        <v>24.88</v>
      </c>
      <c r="F41" s="14" t="s">
        <v>1245</v>
      </c>
      <c r="G41" s="15">
        <v>6.22</v>
      </c>
      <c r="H41" s="14"/>
      <c r="I41" s="14"/>
      <c r="J41" s="15">
        <f t="shared" si="1"/>
        <v>31.099999999999998</v>
      </c>
      <c r="K41" s="14"/>
      <c r="L41" s="14"/>
      <c r="M41" s="15">
        <f t="shared" si="0"/>
        <v>31.099999999999998</v>
      </c>
      <c r="N41" s="14" t="str">
        <f>VLOOKUP(A41,[2]Sheet1!$B$4:$F$352,3,0)</f>
        <v>DL1</v>
      </c>
      <c r="O41" s="16">
        <f>VLOOKUP(A41,[2]Sheet1!$B$4:$F$352,4,0)</f>
        <v>4</v>
      </c>
      <c r="P41" s="16"/>
      <c r="Q41" s="16">
        <f>VLOOKUP(A41,[2]Sheet1!$B$4:$F$352,4,0)</f>
        <v>4</v>
      </c>
      <c r="R41" s="17">
        <f>VLOOKUP(A41,[1]Sheet1!$A$2:$F$379,3,0)</f>
        <v>5.4</v>
      </c>
      <c r="S41" s="16">
        <f>VLOOKUP(A41,[1]Sheet1!$A$2:$F$379,4,0)</f>
        <v>10.4</v>
      </c>
      <c r="T41" s="16" t="str">
        <f>VLOOKUP(A41,[1]Sheet1!$A$2:$F$379,5,0)</f>
        <v>375±2</v>
      </c>
      <c r="U41" s="16" t="str">
        <f>VLOOKUP(A41,[1]Sheet1!$A$2:$F$379,6,0)</f>
        <v>340-344</v>
      </c>
      <c r="V41" s="16"/>
      <c r="W41" s="16"/>
      <c r="X41" s="16"/>
      <c r="Y41" s="18" t="str">
        <f>VLOOKUP(A41,[3]Combi!$A$1:$B$304,2,0)</f>
        <v>SOP/PROD/HOSE/SPS/1/5</v>
      </c>
    </row>
    <row r="42" spans="1:26" s="18" customFormat="1" x14ac:dyDescent="0.25">
      <c r="A42" s="13" t="s">
        <v>1123</v>
      </c>
      <c r="B42" s="14" t="str">
        <f>VLOOKUP(A42,[1]Sheet1!$A$2:$F$379,2,0)</f>
        <v>77754-BZ090</v>
      </c>
      <c r="C42" s="14" t="s">
        <v>657</v>
      </c>
      <c r="D42" s="14" t="s">
        <v>1246</v>
      </c>
      <c r="E42" s="15">
        <v>13.55</v>
      </c>
      <c r="F42" s="14" t="s">
        <v>1245</v>
      </c>
      <c r="G42" s="15">
        <v>3.39</v>
      </c>
      <c r="H42" s="14"/>
      <c r="I42" s="14"/>
      <c r="J42" s="15">
        <f t="shared" si="1"/>
        <v>16.940000000000001</v>
      </c>
      <c r="K42" s="14"/>
      <c r="L42" s="14"/>
      <c r="M42" s="15">
        <f t="shared" si="0"/>
        <v>16.940000000000001</v>
      </c>
      <c r="N42" s="14" t="e">
        <f>VLOOKUP(A42,[2]Sheet1!$B$4:$F$352,3,0)</f>
        <v>#N/A</v>
      </c>
      <c r="O42" s="16" t="e">
        <f>VLOOKUP(A42,[2]Sheet1!$B$4:$F$352,4,0)</f>
        <v>#N/A</v>
      </c>
      <c r="P42" s="16"/>
      <c r="Q42" s="16" t="e">
        <f>VLOOKUP(A42,[2]Sheet1!$B$4:$F$352,4,0)</f>
        <v>#N/A</v>
      </c>
      <c r="R42" s="17">
        <f>VLOOKUP(A42,[1]Sheet1!$A$2:$F$379,3,0)</f>
        <v>5.4</v>
      </c>
      <c r="S42" s="16">
        <f>VLOOKUP(A42,[1]Sheet1!$A$2:$F$379,4,0)</f>
        <v>10.4</v>
      </c>
      <c r="T42" s="16" t="str">
        <f>VLOOKUP(A42,[1]Sheet1!$A$2:$F$379,5,0)</f>
        <v>233±2</v>
      </c>
      <c r="U42" s="16">
        <f>VLOOKUP(A42,[1]Sheet1!$A$2:$F$379,6,0)</f>
        <v>0</v>
      </c>
      <c r="V42" s="16"/>
      <c r="W42" s="16"/>
      <c r="X42" s="16"/>
      <c r="Y42" s="18" t="str">
        <f>VLOOKUP(A42,[3]Combi!$A$1:$B$304,2,0)</f>
        <v>SOP/PROD/HOSE/SPS/1/5</v>
      </c>
    </row>
    <row r="43" spans="1:26" s="18" customFormat="1" x14ac:dyDescent="0.25">
      <c r="A43" s="13" t="s">
        <v>1124</v>
      </c>
      <c r="B43" s="14" t="str">
        <f>VLOOKUP(A43,[1]Sheet1!$A$2:$F$379,2,0)</f>
        <v>77795-BZ100</v>
      </c>
      <c r="C43" s="14" t="s">
        <v>659</v>
      </c>
      <c r="D43" s="14" t="s">
        <v>1246</v>
      </c>
      <c r="E43" s="15">
        <v>20.94</v>
      </c>
      <c r="F43" s="14" t="s">
        <v>1245</v>
      </c>
      <c r="G43" s="15">
        <v>5.24</v>
      </c>
      <c r="H43" s="14"/>
      <c r="I43" s="14"/>
      <c r="J43" s="15">
        <f t="shared" si="1"/>
        <v>26.18</v>
      </c>
      <c r="K43" s="14"/>
      <c r="L43" s="14"/>
      <c r="M43" s="15">
        <f t="shared" si="0"/>
        <v>26.18</v>
      </c>
      <c r="N43" s="14" t="e">
        <f>VLOOKUP(A43,[2]Sheet1!$B$4:$F$352,3,0)</f>
        <v>#N/A</v>
      </c>
      <c r="O43" s="16" t="e">
        <f>VLOOKUP(A43,[2]Sheet1!$B$4:$F$352,4,0)</f>
        <v>#N/A</v>
      </c>
      <c r="P43" s="16"/>
      <c r="Q43" s="16" t="e">
        <f>VLOOKUP(A43,[2]Sheet1!$B$4:$F$352,4,0)</f>
        <v>#N/A</v>
      </c>
      <c r="R43" s="17">
        <f>VLOOKUP(A43,[1]Sheet1!$A$2:$F$379,3,0)</f>
        <v>5.4</v>
      </c>
      <c r="S43" s="16">
        <f>VLOOKUP(A43,[1]Sheet1!$A$2:$F$379,4,0)</f>
        <v>10.4</v>
      </c>
      <c r="T43" s="16" t="str">
        <f>VLOOKUP(A43,[1]Sheet1!$A$2:$F$379,5,0)</f>
        <v>338±2</v>
      </c>
      <c r="U43" s="16">
        <f>VLOOKUP(A43,[1]Sheet1!$A$2:$F$379,6,0)</f>
        <v>0</v>
      </c>
      <c r="V43" s="16"/>
      <c r="W43" s="16"/>
      <c r="X43" s="16"/>
      <c r="Y43" s="18" t="str">
        <f>VLOOKUP(A43,[3]Combi!$A$1:$B$304,2,0)</f>
        <v>SOP/PROD/HOSE/SPS/1/5</v>
      </c>
    </row>
    <row r="44" spans="1:26" s="18" customFormat="1" x14ac:dyDescent="0.25">
      <c r="A44" s="13" t="s">
        <v>1147</v>
      </c>
      <c r="B44" s="14" t="str">
        <f>VLOOKUP(A44,[1]Sheet1!$A$2:$F$379,2,0)</f>
        <v>12261-BZ160</v>
      </c>
      <c r="C44" s="14" t="s">
        <v>707</v>
      </c>
      <c r="D44" s="14" t="s">
        <v>1235</v>
      </c>
      <c r="E44" s="15">
        <v>85.61</v>
      </c>
      <c r="F44" s="14" t="s">
        <v>1230</v>
      </c>
      <c r="G44" s="15">
        <v>18.59</v>
      </c>
      <c r="H44" s="14"/>
      <c r="I44" s="14"/>
      <c r="J44" s="15">
        <f t="shared" si="1"/>
        <v>104.2</v>
      </c>
      <c r="K44" s="14"/>
      <c r="L44" s="14"/>
      <c r="M44" s="15">
        <f t="shared" si="0"/>
        <v>104.2</v>
      </c>
      <c r="N44" s="14" t="str">
        <f>VLOOKUP(A44,[2]Sheet1!$B$4:$F$352,3,0)</f>
        <v>CHS3L</v>
      </c>
      <c r="O44" s="16">
        <f>VLOOKUP(A44,[2]Sheet1!$B$4:$F$352,4,0)</f>
        <v>4</v>
      </c>
      <c r="P44" s="16"/>
      <c r="Q44" s="16">
        <f>VLOOKUP(A44,[2]Sheet1!$B$4:$F$352,4,0)</f>
        <v>4</v>
      </c>
      <c r="R44" s="17">
        <f>VLOOKUP(A44,[1]Sheet1!$A$2:$F$379,3,0)</f>
        <v>9</v>
      </c>
      <c r="S44" s="16">
        <f>VLOOKUP(A44,[1]Sheet1!$A$2:$F$379,4,0)</f>
        <v>17</v>
      </c>
      <c r="T44" s="16" t="str">
        <f>VLOOKUP(A44,[1]Sheet1!$A$2:$F$379,5,0)</f>
        <v>533±2</v>
      </c>
      <c r="U44" s="16" t="str">
        <f>VLOOKUP(A44,[1]Sheet1!$A$2:$F$379,6,0)</f>
        <v>481-485</v>
      </c>
      <c r="V44" s="16"/>
      <c r="W44" s="16"/>
      <c r="X44" s="16"/>
      <c r="Y44" s="18" t="str">
        <f>VLOOKUP(A44,[3]Combi!$A$1:$B$304,2,0)</f>
        <v>SOP/PROD/HOSE/SPS/1/19</v>
      </c>
    </row>
    <row r="45" spans="1:26" s="18" customFormat="1" x14ac:dyDescent="0.25">
      <c r="A45" s="13" t="s">
        <v>1138</v>
      </c>
      <c r="B45" s="14" t="str">
        <f>VLOOKUP(A45,[1]Sheet1!$A$2:$F$379,2,0)</f>
        <v>16572-BZ210</v>
      </c>
      <c r="C45" s="14" t="s">
        <v>687</v>
      </c>
      <c r="D45" s="14" t="s">
        <v>1237</v>
      </c>
      <c r="E45" s="15">
        <v>260</v>
      </c>
      <c r="F45" s="14"/>
      <c r="G45" s="14"/>
      <c r="H45" s="14"/>
      <c r="I45" s="14"/>
      <c r="J45" s="15">
        <f t="shared" si="1"/>
        <v>260</v>
      </c>
      <c r="K45" s="14" t="s">
        <v>1266</v>
      </c>
      <c r="L45" s="15">
        <v>9.2430000000000003</v>
      </c>
      <c r="M45" s="15">
        <f t="shared" si="0"/>
        <v>269.24299999999999</v>
      </c>
      <c r="N45" s="14" t="str">
        <f>VLOOKUP(A45,[2]Sheet1!$B$4:$F$352,3,0)</f>
        <v>CHS2L</v>
      </c>
      <c r="O45" s="16">
        <f>VLOOKUP(A45,[2]Sheet1!$B$4:$F$352,4,0)</f>
        <v>0</v>
      </c>
      <c r="P45" s="16"/>
      <c r="Q45" s="16">
        <f>VLOOKUP(A45,[2]Sheet1!$B$4:$F$352,4,0)</f>
        <v>0</v>
      </c>
      <c r="R45" s="17">
        <f>VLOOKUP(A45,[1]Sheet1!$A$2:$F$379,3,0)</f>
        <v>24</v>
      </c>
      <c r="S45" s="16">
        <f>VLOOKUP(A45,[1]Sheet1!$A$2:$F$379,4,0)</f>
        <v>32</v>
      </c>
      <c r="T45" s="16">
        <f>VLOOKUP(A45,[1]Sheet1!$A$2:$F$379,5,0)</f>
        <v>635</v>
      </c>
      <c r="U45" s="16" t="str">
        <f>VLOOKUP(A45,[1]Sheet1!$A$2:$F$379,6,0)</f>
        <v>634±1</v>
      </c>
      <c r="V45" s="16"/>
      <c r="W45" s="16"/>
      <c r="X45" s="16"/>
      <c r="Y45" s="18" t="str">
        <f>VLOOKUP(A45,[3]Combi!$A$1:$B$304,2,0)</f>
        <v>SOP/PROD/HOSE/SPS/2/5</v>
      </c>
    </row>
    <row r="46" spans="1:26" s="18" customFormat="1" x14ac:dyDescent="0.25">
      <c r="A46" s="13" t="s">
        <v>1135</v>
      </c>
      <c r="B46" s="14" t="str">
        <f>VLOOKUP(A46,[1]Sheet1!$A$2:$F$379,2,0)</f>
        <v>16571-BZ280</v>
      </c>
      <c r="C46" s="14" t="s">
        <v>681</v>
      </c>
      <c r="D46" s="14" t="s">
        <v>1237</v>
      </c>
      <c r="E46" s="15">
        <v>215</v>
      </c>
      <c r="F46" s="14"/>
      <c r="G46" s="14"/>
      <c r="H46" s="14"/>
      <c r="I46" s="14"/>
      <c r="J46" s="15">
        <f t="shared" si="1"/>
        <v>215</v>
      </c>
      <c r="K46" s="14" t="s">
        <v>1266</v>
      </c>
      <c r="L46" s="15">
        <v>9.4</v>
      </c>
      <c r="M46" s="15">
        <f t="shared" si="0"/>
        <v>224.4</v>
      </c>
      <c r="N46" s="14" t="str">
        <f>VLOOKUP(A46,[2]Sheet1!$B$4:$F$352,3,0)</f>
        <v>CHS2L</v>
      </c>
      <c r="O46" s="16">
        <f>VLOOKUP(A46,[2]Sheet1!$B$4:$F$352,4,0)</f>
        <v>5</v>
      </c>
      <c r="P46" s="16"/>
      <c r="Q46" s="16">
        <f>VLOOKUP(A46,[2]Sheet1!$B$4:$F$352,4,0)</f>
        <v>5</v>
      </c>
      <c r="R46" s="17">
        <f>VLOOKUP(A46,[1]Sheet1!$A$2:$F$379,3,0)</f>
        <v>31</v>
      </c>
      <c r="S46" s="16">
        <f>VLOOKUP(A46,[1]Sheet1!$A$2:$F$379,4,0)</f>
        <v>39</v>
      </c>
      <c r="T46" s="16">
        <f>VLOOKUP(A46,[1]Sheet1!$A$2:$F$379,5,0)</f>
        <v>406</v>
      </c>
      <c r="U46" s="16" t="str">
        <f>VLOOKUP(A46,[1]Sheet1!$A$2:$F$379,6,0)</f>
        <v>401±1</v>
      </c>
      <c r="V46" s="16"/>
      <c r="W46" s="16"/>
      <c r="X46" s="16"/>
      <c r="Y46" s="18" t="str">
        <f>VLOOKUP(A46,[3]Combi!$A$1:$B$304,2,0)</f>
        <v>SOP/PROD/HOSE/SPS/2/3</v>
      </c>
    </row>
    <row r="47" spans="1:26" s="18" customFormat="1" x14ac:dyDescent="0.25">
      <c r="A47" s="13" t="s">
        <v>1145</v>
      </c>
      <c r="B47" s="14" t="str">
        <f>VLOOKUP(A47,[1]Sheet1!$A$2:$F$379,2,0)</f>
        <v>16571-BZ290</v>
      </c>
      <c r="C47" s="14" t="s">
        <v>703</v>
      </c>
      <c r="D47" s="14" t="s">
        <v>1237</v>
      </c>
      <c r="E47" s="15">
        <v>221</v>
      </c>
      <c r="F47" s="14"/>
      <c r="G47" s="14"/>
      <c r="H47" s="14"/>
      <c r="I47" s="14"/>
      <c r="J47" s="15">
        <f t="shared" si="1"/>
        <v>221</v>
      </c>
      <c r="K47" s="14" t="s">
        <v>1266</v>
      </c>
      <c r="L47" s="15">
        <v>9</v>
      </c>
      <c r="M47" s="15">
        <f t="shared" si="0"/>
        <v>230</v>
      </c>
      <c r="N47" s="14" t="str">
        <f>VLOOKUP(A47,[2]Sheet1!$B$4:$F$352,3,0)</f>
        <v>CHS2L</v>
      </c>
      <c r="O47" s="16">
        <f>VLOOKUP(A47,[2]Sheet1!$B$4:$F$352,4,0)</f>
        <v>4</v>
      </c>
      <c r="P47" s="16"/>
      <c r="Q47" s="16">
        <f>VLOOKUP(A47,[2]Sheet1!$B$4:$F$352,4,0)</f>
        <v>4</v>
      </c>
      <c r="R47" s="17">
        <f>VLOOKUP(A47,[1]Sheet1!$A$2:$F$379,3,0)</f>
        <v>31</v>
      </c>
      <c r="S47" s="16">
        <f>VLOOKUP(A47,[1]Sheet1!$A$2:$F$379,4,0)</f>
        <v>39</v>
      </c>
      <c r="T47" s="16">
        <f>VLOOKUP(A47,[1]Sheet1!$A$2:$F$379,5,0)</f>
        <v>425</v>
      </c>
      <c r="U47" s="16" t="str">
        <f>VLOOKUP(A47,[1]Sheet1!$A$2:$F$379,6,0)</f>
        <v>423±1</v>
      </c>
      <c r="V47" s="16"/>
      <c r="W47" s="16"/>
      <c r="X47" s="16"/>
      <c r="Y47" s="18" t="str">
        <f>VLOOKUP(A47,[3]Combi!$A$1:$B$304,2,0)</f>
        <v>SOP/PROD/HOSE/SPS/2/3</v>
      </c>
    </row>
    <row r="48" spans="1:26" s="18" customFormat="1" x14ac:dyDescent="0.25">
      <c r="A48" s="13" t="s">
        <v>1146</v>
      </c>
      <c r="B48" s="14" t="str">
        <f>VLOOKUP(A48,[1]Sheet1!$A$2:$F$379,2,0)</f>
        <v>16572-BZ220</v>
      </c>
      <c r="C48" s="14" t="s">
        <v>705</v>
      </c>
      <c r="D48" s="14" t="s">
        <v>1237</v>
      </c>
      <c r="E48" s="15">
        <v>296.2</v>
      </c>
      <c r="F48" s="14"/>
      <c r="G48" s="14"/>
      <c r="H48" s="14"/>
      <c r="I48" s="14"/>
      <c r="J48" s="15">
        <f t="shared" si="1"/>
        <v>296.2</v>
      </c>
      <c r="K48" s="14" t="s">
        <v>1266</v>
      </c>
      <c r="L48" s="15">
        <v>12.3</v>
      </c>
      <c r="M48" s="15">
        <f t="shared" si="0"/>
        <v>308.5</v>
      </c>
      <c r="N48" s="14" t="str">
        <f>VLOOKUP(A48,[2]Sheet1!$B$4:$F$352,3,0)</f>
        <v>CHS2L</v>
      </c>
      <c r="O48" s="16">
        <f>VLOOKUP(A48,[2]Sheet1!$B$4:$F$352,4,0)</f>
        <v>7</v>
      </c>
      <c r="P48" s="16"/>
      <c r="Q48" s="16">
        <f>VLOOKUP(A48,[2]Sheet1!$B$4:$F$352,4,0)</f>
        <v>7</v>
      </c>
      <c r="R48" s="17">
        <f>VLOOKUP(A48,[1]Sheet1!$A$2:$F$379,3,0)</f>
        <v>30</v>
      </c>
      <c r="S48" s="16">
        <f>VLOOKUP(A48,[1]Sheet1!$A$2:$F$379,4,0)</f>
        <v>38</v>
      </c>
      <c r="T48" s="16">
        <f>VLOOKUP(A48,[1]Sheet1!$A$2:$F$379,5,0)</f>
        <v>570</v>
      </c>
      <c r="U48" s="16" t="str">
        <f>VLOOKUP(A48,[1]Sheet1!$A$2:$F$379,6,0)</f>
        <v>569±1</v>
      </c>
      <c r="V48" s="16"/>
      <c r="W48" s="16"/>
      <c r="X48" s="16"/>
      <c r="Y48" s="18" t="str">
        <f>VLOOKUP(A48,[3]Combi!$A$1:$B$304,2,0)</f>
        <v>SOP/PROD/HOSE/SPS/2/14</v>
      </c>
    </row>
    <row r="49" spans="1:26" s="18" customFormat="1" x14ac:dyDescent="0.25">
      <c r="A49" s="13" t="s">
        <v>1174</v>
      </c>
      <c r="B49" s="14" t="str">
        <f>VLOOKUP(A49,[1]Sheet1!$A$2:$F$379,2,0)</f>
        <v>87246-BZ130</v>
      </c>
      <c r="C49" s="14" t="s">
        <v>770</v>
      </c>
      <c r="D49" s="14" t="s">
        <v>1237</v>
      </c>
      <c r="E49" s="15">
        <v>59.89</v>
      </c>
      <c r="F49" s="14"/>
      <c r="G49" s="14"/>
      <c r="H49" s="14"/>
      <c r="I49" s="14"/>
      <c r="J49" s="15">
        <f t="shared" si="1"/>
        <v>59.89</v>
      </c>
      <c r="K49" s="14" t="s">
        <v>1265</v>
      </c>
      <c r="L49" s="15">
        <v>2.11</v>
      </c>
      <c r="M49" s="15">
        <f t="shared" si="0"/>
        <v>62</v>
      </c>
      <c r="N49" s="14" t="str">
        <f>VLOOKUP(A49,[2]Sheet1!$B$4:$F$352,3,0)</f>
        <v>CHS2L</v>
      </c>
      <c r="O49" s="16">
        <f>VLOOKUP(A49,[2]Sheet1!$B$4:$F$352,4,0)</f>
        <v>4</v>
      </c>
      <c r="P49" s="16"/>
      <c r="Q49" s="16">
        <f>VLOOKUP(A49,[2]Sheet1!$B$4:$F$352,4,0)</f>
        <v>4</v>
      </c>
      <c r="R49" s="17">
        <f>VLOOKUP(A49,[1]Sheet1!$A$2:$F$379,3,0)</f>
        <v>13</v>
      </c>
      <c r="S49" s="16">
        <f>VLOOKUP(A49,[1]Sheet1!$A$2:$F$379,4,0)</f>
        <v>21</v>
      </c>
      <c r="T49" s="16">
        <f>VLOOKUP(A49,[1]Sheet1!$A$2:$F$379,5,0)</f>
        <v>248</v>
      </c>
      <c r="U49" s="16" t="str">
        <f>VLOOKUP(A49,[1]Sheet1!$A$2:$F$379,6,0)</f>
        <v>240±1</v>
      </c>
      <c r="V49" s="16"/>
      <c r="W49" s="16"/>
      <c r="X49" s="16"/>
      <c r="Y49" s="18" t="str">
        <f>VLOOKUP(A49,[3]Combi!$A$1:$B$304,2,0)</f>
        <v>SOP/PROD/HOSE/SPS/2/9</v>
      </c>
    </row>
    <row r="50" spans="1:26" s="18" customFormat="1" x14ac:dyDescent="0.25">
      <c r="A50" s="13" t="s">
        <v>1139</v>
      </c>
      <c r="B50" s="14" t="str">
        <f>VLOOKUP(A50,[1]Sheet1!$A$2:$F$379,2,0)</f>
        <v>87245-BZ190</v>
      </c>
      <c r="C50" s="14" t="s">
        <v>689</v>
      </c>
      <c r="D50" s="14" t="s">
        <v>1237</v>
      </c>
      <c r="E50" s="15">
        <v>56.03</v>
      </c>
      <c r="F50" s="14"/>
      <c r="G50" s="14"/>
      <c r="H50" s="14"/>
      <c r="I50" s="14"/>
      <c r="J50" s="15">
        <f t="shared" si="1"/>
        <v>56.03</v>
      </c>
      <c r="K50" s="14" t="s">
        <v>1265</v>
      </c>
      <c r="L50" s="15">
        <v>1.97</v>
      </c>
      <c r="M50" s="15">
        <f t="shared" si="0"/>
        <v>58</v>
      </c>
      <c r="N50" s="14" t="str">
        <f>VLOOKUP(A50,[2]Sheet1!$B$4:$F$352,3,0)</f>
        <v>CHS2L</v>
      </c>
      <c r="O50" s="16">
        <f>VLOOKUP(A50,[2]Sheet1!$B$4:$F$352,4,0)</f>
        <v>4</v>
      </c>
      <c r="P50" s="16"/>
      <c r="Q50" s="16">
        <f>VLOOKUP(A50,[2]Sheet1!$B$4:$F$352,4,0)</f>
        <v>4</v>
      </c>
      <c r="R50" s="17">
        <f>VLOOKUP(A50,[1]Sheet1!$A$2:$F$379,3,0)</f>
        <v>13</v>
      </c>
      <c r="S50" s="16">
        <f>VLOOKUP(A50,[1]Sheet1!$A$2:$F$379,4,0)</f>
        <v>21</v>
      </c>
      <c r="T50" s="16">
        <f>VLOOKUP(A50,[1]Sheet1!$A$2:$F$379,5,0)</f>
        <v>230</v>
      </c>
      <c r="U50" s="16" t="str">
        <f>VLOOKUP(A50,[1]Sheet1!$A$2:$F$379,6,0)</f>
        <v>225±1</v>
      </c>
      <c r="V50" s="16"/>
      <c r="W50" s="16"/>
      <c r="X50" s="16"/>
      <c r="Y50" s="18" t="str">
        <f>VLOOKUP(A50,[3]Combi!$A$1:$B$304,2,0)</f>
        <v>SOP/PROD/HOSE/SPS/2/9</v>
      </c>
    </row>
    <row r="51" spans="1:26" s="18" customFormat="1" x14ac:dyDescent="0.25">
      <c r="A51" s="13" t="s">
        <v>1136</v>
      </c>
      <c r="B51" s="14" t="str">
        <f>VLOOKUP(A51,[1]Sheet1!$A$2:$F$379,2,0)</f>
        <v>16571-BZ270</v>
      </c>
      <c r="C51" s="14" t="s">
        <v>683</v>
      </c>
      <c r="D51" s="14" t="s">
        <v>1237</v>
      </c>
      <c r="E51" s="15">
        <v>204</v>
      </c>
      <c r="F51" s="14"/>
      <c r="G51" s="14"/>
      <c r="H51" s="14"/>
      <c r="I51" s="14"/>
      <c r="J51" s="15">
        <f t="shared" si="1"/>
        <v>204</v>
      </c>
      <c r="K51" s="14" t="s">
        <v>1266</v>
      </c>
      <c r="L51" s="15">
        <v>6.0270000000000001</v>
      </c>
      <c r="M51" s="15">
        <f t="shared" si="0"/>
        <v>210.02699999999999</v>
      </c>
      <c r="N51" s="14" t="str">
        <f>VLOOKUP(A51,[2]Sheet1!$B$4:$F$352,3,0)</f>
        <v>CHS2L</v>
      </c>
      <c r="O51" s="16">
        <f>VLOOKUP(A51,[2]Sheet1!$B$4:$F$352,4,0)</f>
        <v>0</v>
      </c>
      <c r="P51" s="16"/>
      <c r="Q51" s="16">
        <f>VLOOKUP(A51,[2]Sheet1!$B$4:$F$352,4,0)</f>
        <v>0</v>
      </c>
      <c r="R51" s="17">
        <f>VLOOKUP(A51,[1]Sheet1!$A$2:$F$379,3,0)</f>
        <v>24</v>
      </c>
      <c r="S51" s="16">
        <f>VLOOKUP(A51,[1]Sheet1!$A$2:$F$379,4,0)</f>
        <v>32</v>
      </c>
      <c r="T51" s="16">
        <f>VLOOKUP(A51,[1]Sheet1!$A$2:$F$379,5,0)</f>
        <v>450</v>
      </c>
      <c r="U51" s="16" t="str">
        <f>VLOOKUP(A51,[1]Sheet1!$A$2:$F$379,6,0)</f>
        <v>449±1</v>
      </c>
      <c r="V51" s="16"/>
      <c r="W51" s="16"/>
      <c r="X51" s="16"/>
      <c r="Y51" s="18" t="str">
        <f>VLOOKUP(A51,[3]Combi!$A$1:$B$304,2,0)</f>
        <v>SOP/PROD/HOSE/SPS/2/5</v>
      </c>
    </row>
    <row r="52" spans="1:26" s="18" customFormat="1" x14ac:dyDescent="0.25">
      <c r="A52" s="13" t="s">
        <v>1148</v>
      </c>
      <c r="B52" s="14" t="str">
        <f>VLOOKUP(A52,[1]Sheet1!$A$2:$F$379,2,0)</f>
        <v>23827-BZ020</v>
      </c>
      <c r="C52" s="14" t="s">
        <v>709</v>
      </c>
      <c r="D52" s="14" t="s">
        <v>1245</v>
      </c>
      <c r="E52" s="15">
        <v>5.88</v>
      </c>
      <c r="F52" s="14" t="s">
        <v>1246</v>
      </c>
      <c r="G52" s="15">
        <v>41.07</v>
      </c>
      <c r="H52" s="14"/>
      <c r="I52" s="14"/>
      <c r="J52" s="15">
        <f t="shared" si="1"/>
        <v>46.95</v>
      </c>
      <c r="K52" s="14"/>
      <c r="L52" s="14"/>
      <c r="M52" s="15">
        <f t="shared" si="0"/>
        <v>46.95</v>
      </c>
      <c r="N52" s="14" t="str">
        <f>VLOOKUP(A52,[2]Sheet1!$B$4:$F$352,3,0)</f>
        <v>DL1</v>
      </c>
      <c r="O52" s="16">
        <f>VLOOKUP(A52,[2]Sheet1!$B$4:$F$352,4,0)</f>
        <v>7</v>
      </c>
      <c r="P52" s="16"/>
      <c r="Q52" s="16">
        <f>VLOOKUP(A52,[2]Sheet1!$B$4:$F$352,4,0)</f>
        <v>7</v>
      </c>
      <c r="R52" s="17">
        <f>VLOOKUP(A52,[1]Sheet1!$A$2:$F$379,3,0)</f>
        <v>7</v>
      </c>
      <c r="S52" s="16">
        <f>VLOOKUP(A52,[1]Sheet1!$A$2:$F$379,4,0)</f>
        <v>14</v>
      </c>
      <c r="T52" s="16" t="str">
        <f>VLOOKUP(A52,[1]Sheet1!$A$2:$F$379,5,0)</f>
        <v>345±2</v>
      </c>
      <c r="U52" s="16" t="str">
        <f>VLOOKUP(A52,[1]Sheet1!$A$2:$F$379,6,0)</f>
        <v>306-310</v>
      </c>
      <c r="V52" s="16"/>
      <c r="W52" s="16"/>
      <c r="X52" s="16"/>
      <c r="Y52" s="18" t="str">
        <f>VLOOKUP(A52,[3]Combi!$A$1:$B$304,2,0)</f>
        <v>SOP/PROD/HOSE/SPS/1/8</v>
      </c>
    </row>
    <row r="53" spans="1:26" s="18" customFormat="1" x14ac:dyDescent="0.25">
      <c r="A53" s="13" t="s">
        <v>1149</v>
      </c>
      <c r="B53" s="14" t="str">
        <f>VLOOKUP(A53,[1]Sheet1!$A$2:$F$379,2,0)</f>
        <v>12262-BZ080</v>
      </c>
      <c r="C53" s="14" t="s">
        <v>711</v>
      </c>
      <c r="D53" s="14" t="s">
        <v>1235</v>
      </c>
      <c r="E53" s="15">
        <v>102.07</v>
      </c>
      <c r="F53" s="14" t="s">
        <v>1230</v>
      </c>
      <c r="G53" s="15">
        <v>19.61</v>
      </c>
      <c r="H53" s="14"/>
      <c r="I53" s="14"/>
      <c r="J53" s="15">
        <f t="shared" si="1"/>
        <v>121.67999999999999</v>
      </c>
      <c r="K53" s="14"/>
      <c r="L53" s="14"/>
      <c r="M53" s="15">
        <f t="shared" si="0"/>
        <v>121.67999999999999</v>
      </c>
      <c r="N53" s="14" t="str">
        <f>VLOOKUP(A53,[2]Sheet1!$B$4:$F$352,3,0)</f>
        <v>DL2</v>
      </c>
      <c r="O53" s="16">
        <f>VLOOKUP(A53,[2]Sheet1!$B$4:$F$352,4,0)</f>
        <v>5</v>
      </c>
      <c r="P53" s="16"/>
      <c r="Q53" s="16">
        <f>VLOOKUP(A53,[2]Sheet1!$B$4:$F$352,4,0)</f>
        <v>5</v>
      </c>
      <c r="R53" s="17">
        <f>VLOOKUP(A53,[1]Sheet1!$A$2:$F$379,3,0)</f>
        <v>15</v>
      </c>
      <c r="S53" s="16">
        <f>VLOOKUP(A53,[1]Sheet1!$A$2:$F$379,4,0)</f>
        <v>22</v>
      </c>
      <c r="T53" s="16" t="str">
        <f>VLOOKUP(A53,[1]Sheet1!$A$2:$F$379,5,0)</f>
        <v>508±2</v>
      </c>
      <c r="U53" s="16" t="str">
        <f>VLOOKUP(A53,[1]Sheet1!$A$2:$F$379,6,0)</f>
        <v>475-480</v>
      </c>
      <c r="V53" s="16"/>
      <c r="W53" s="16"/>
      <c r="X53" s="16"/>
      <c r="Y53" s="18" t="s">
        <v>1292</v>
      </c>
      <c r="Z53" s="22" t="s">
        <v>1296</v>
      </c>
    </row>
    <row r="54" spans="1:26" s="18" customFormat="1" x14ac:dyDescent="0.25">
      <c r="A54" s="13" t="s">
        <v>1175</v>
      </c>
      <c r="B54" s="14" t="str">
        <f>VLOOKUP(A54,[1]Sheet1!$A$2:$F$379,2,0)</f>
        <v>77213-BZ170</v>
      </c>
      <c r="C54" s="14" t="s">
        <v>772</v>
      </c>
      <c r="D54" s="14" t="s">
        <v>1256</v>
      </c>
      <c r="E54" s="15">
        <v>189.75</v>
      </c>
      <c r="F54" s="14"/>
      <c r="G54" s="14"/>
      <c r="H54" s="14"/>
      <c r="I54" s="14"/>
      <c r="J54" s="15">
        <f t="shared" si="1"/>
        <v>189.75</v>
      </c>
      <c r="K54" s="14"/>
      <c r="L54" s="14"/>
      <c r="M54" s="15">
        <f t="shared" si="0"/>
        <v>189.75</v>
      </c>
      <c r="N54" s="14" t="s">
        <v>1290</v>
      </c>
      <c r="O54" s="16">
        <f>VLOOKUP(A54,[2]Sheet1!$B$4:$F$352,4,0)</f>
        <v>5</v>
      </c>
      <c r="P54" s="16"/>
      <c r="Q54" s="16">
        <f>VLOOKUP(A54,[2]Sheet1!$B$4:$F$352,4,0)</f>
        <v>5</v>
      </c>
      <c r="R54" s="17">
        <f>VLOOKUP(A54,[1]Sheet1!$A$2:$F$379,3,0)</f>
        <v>34</v>
      </c>
      <c r="S54" s="16">
        <f>VLOOKUP(A54,[1]Sheet1!$A$2:$F$379,4,0)</f>
        <v>42</v>
      </c>
      <c r="T54" s="16" t="str">
        <f>VLOOKUP(A54,[1]Sheet1!$A$2:$F$379,5,0)</f>
        <v>343±2</v>
      </c>
      <c r="U54" s="16" t="str">
        <f>VLOOKUP(A54,[1]Sheet1!$A$2:$F$379,6,0)</f>
        <v>339-342</v>
      </c>
      <c r="V54" s="16"/>
      <c r="W54" s="16"/>
      <c r="X54" s="16"/>
      <c r="Y54" s="18" t="s">
        <v>1293</v>
      </c>
      <c r="Z54" s="22" t="s">
        <v>1297</v>
      </c>
    </row>
    <row r="55" spans="1:26" s="18" customFormat="1" x14ac:dyDescent="0.25">
      <c r="A55" s="13" t="s">
        <v>1140</v>
      </c>
      <c r="B55" s="14" t="str">
        <f>VLOOKUP(A55,[1]Sheet1!$A$2:$F$379,2,0)</f>
        <v>12261-BZ180</v>
      </c>
      <c r="C55" s="14" t="s">
        <v>691</v>
      </c>
      <c r="D55" s="14" t="s">
        <v>1235</v>
      </c>
      <c r="E55" s="15">
        <v>79.61</v>
      </c>
      <c r="F55" s="14" t="s">
        <v>1230</v>
      </c>
      <c r="G55" s="15">
        <v>17.289000000000001</v>
      </c>
      <c r="H55" s="14"/>
      <c r="I55" s="14"/>
      <c r="J55" s="15">
        <f t="shared" si="1"/>
        <v>96.899000000000001</v>
      </c>
      <c r="K55" s="14"/>
      <c r="L55" s="14"/>
      <c r="M55" s="15">
        <f t="shared" si="0"/>
        <v>96.899000000000001</v>
      </c>
      <c r="N55" s="14" t="str">
        <f>VLOOKUP(A55,[2]Sheet1!$B$4:$F$352,3,0)</f>
        <v>DL2</v>
      </c>
      <c r="O55" s="16">
        <f>VLOOKUP(A55,[2]Sheet1!$B$4:$F$352,4,0)</f>
        <v>4</v>
      </c>
      <c r="P55" s="16"/>
      <c r="Q55" s="16">
        <f>VLOOKUP(A55,[2]Sheet1!$B$4:$F$352,4,0)</f>
        <v>4</v>
      </c>
      <c r="R55" s="17">
        <f>VLOOKUP(A55,[1]Sheet1!$A$2:$F$379,3,0)</f>
        <v>9</v>
      </c>
      <c r="S55" s="16">
        <f>VLOOKUP(A55,[1]Sheet1!$A$2:$F$379,4,0)</f>
        <v>17</v>
      </c>
      <c r="T55" s="16" t="str">
        <f>VLOOKUP(A55,[1]Sheet1!$A$2:$F$379,5,0)</f>
        <v>533±2</v>
      </c>
      <c r="U55" s="16" t="str">
        <f>VLOOKUP(A55,[1]Sheet1!$A$2:$F$379,6,0)</f>
        <v>481-485</v>
      </c>
      <c r="V55" s="16"/>
      <c r="W55" s="16"/>
      <c r="X55" s="16"/>
      <c r="Y55" s="18" t="str">
        <f>VLOOKUP(A55,[3]Combi!$A$1:$B$304,2,0)</f>
        <v>SOP/PROD/HOSE/SPS/1/19</v>
      </c>
    </row>
    <row r="56" spans="1:26" s="18" customFormat="1" x14ac:dyDescent="0.25">
      <c r="A56" s="13" t="s">
        <v>1137</v>
      </c>
      <c r="B56" s="14" t="str">
        <f>VLOOKUP(A56,[1]Sheet1!$A$2:$F$379,2,0)</f>
        <v>77213-BZ160</v>
      </c>
      <c r="C56" s="14" t="s">
        <v>685</v>
      </c>
      <c r="D56" s="14" t="s">
        <v>1256</v>
      </c>
      <c r="E56" s="15">
        <v>189.75</v>
      </c>
      <c r="F56" s="14"/>
      <c r="G56" s="14"/>
      <c r="H56" s="14"/>
      <c r="I56" s="14"/>
      <c r="J56" s="15">
        <f t="shared" si="1"/>
        <v>189.75</v>
      </c>
      <c r="K56" s="14"/>
      <c r="L56" s="14"/>
      <c r="M56" s="15">
        <f t="shared" si="0"/>
        <v>189.75</v>
      </c>
      <c r="N56" s="14" t="s">
        <v>1290</v>
      </c>
      <c r="O56" s="16">
        <f>VLOOKUP(A56,[2]Sheet1!$B$4:$F$352,4,0)</f>
        <v>5</v>
      </c>
      <c r="P56" s="16"/>
      <c r="Q56" s="16">
        <f>VLOOKUP(A56,[2]Sheet1!$B$4:$F$352,4,0)</f>
        <v>5</v>
      </c>
      <c r="R56" s="17">
        <f>VLOOKUP(A56,[1]Sheet1!$A$2:$F$379,3,0)</f>
        <v>34</v>
      </c>
      <c r="S56" s="16">
        <f>VLOOKUP(A56,[1]Sheet1!$A$2:$F$379,4,0)</f>
        <v>42</v>
      </c>
      <c r="T56" s="16" t="str">
        <f>VLOOKUP(A56,[1]Sheet1!$A$2:$F$379,5,0)</f>
        <v>343±2</v>
      </c>
      <c r="U56" s="16">
        <f>VLOOKUP(A56,[1]Sheet1!$A$2:$F$379,6,0)</f>
        <v>0</v>
      </c>
      <c r="V56" s="16"/>
      <c r="W56" s="16"/>
      <c r="X56" s="16"/>
      <c r="Y56" s="18" t="s">
        <v>1293</v>
      </c>
      <c r="Z56" s="22" t="s">
        <v>1297</v>
      </c>
    </row>
    <row r="57" spans="1:26" s="18" customFormat="1" x14ac:dyDescent="0.25">
      <c r="A57" s="13" t="s">
        <v>1115</v>
      </c>
      <c r="B57" s="14" t="str">
        <f>VLOOKUP(A57,[1]Sheet1!$A$2:$F$379,2,0)</f>
        <v>23827-BZ080</v>
      </c>
      <c r="C57" s="14" t="s">
        <v>637</v>
      </c>
      <c r="D57" s="14" t="s">
        <v>1246</v>
      </c>
      <c r="E57" s="15">
        <v>66.959999999999994</v>
      </c>
      <c r="F57" s="14" t="s">
        <v>1245</v>
      </c>
      <c r="G57" s="15">
        <v>9.59</v>
      </c>
      <c r="H57" s="14"/>
      <c r="I57" s="14"/>
      <c r="J57" s="15">
        <f t="shared" si="1"/>
        <v>76.55</v>
      </c>
      <c r="K57" s="14"/>
      <c r="L57" s="14"/>
      <c r="M57" s="15">
        <f t="shared" si="0"/>
        <v>76.55</v>
      </c>
      <c r="N57" s="14" t="str">
        <f>VLOOKUP(A57,[2]Sheet1!$B$4:$F$352,3,0)</f>
        <v>DL1</v>
      </c>
      <c r="O57" s="16">
        <f>VLOOKUP(A57,[2]Sheet1!$B$4:$F$352,4,0)</f>
        <v>4</v>
      </c>
      <c r="P57" s="16"/>
      <c r="Q57" s="16">
        <f>VLOOKUP(A57,[2]Sheet1!$B$4:$F$352,4,0)</f>
        <v>4</v>
      </c>
      <c r="R57" s="17">
        <f>VLOOKUP(A57,[1]Sheet1!$A$2:$F$379,3,0)</f>
        <v>7</v>
      </c>
      <c r="S57" s="16">
        <f>VLOOKUP(A57,[1]Sheet1!$A$2:$F$379,4,0)</f>
        <v>14</v>
      </c>
      <c r="T57" s="16" t="str">
        <f>VLOOKUP(A57,[1]Sheet1!$A$2:$F$379,5,0)</f>
        <v>515±2</v>
      </c>
      <c r="U57" s="16" t="str">
        <f>VLOOKUP(A57,[1]Sheet1!$A$2:$F$379,6,0)</f>
        <v>473-477</v>
      </c>
      <c r="V57" s="16"/>
      <c r="W57" s="16"/>
      <c r="X57" s="16"/>
      <c r="Y57" s="18" t="str">
        <f>VLOOKUP(A57,[3]Combi!$A$1:$B$304,2,0)</f>
        <v>SOP/PROD/HOSE/SPS/1/8</v>
      </c>
    </row>
    <row r="58" spans="1:26" s="18" customFormat="1" x14ac:dyDescent="0.25">
      <c r="A58" s="13" t="s">
        <v>1096</v>
      </c>
      <c r="B58" s="14" t="str">
        <f>VLOOKUP(A58,[1]Sheet1!$A$2:$F$379,2,0)</f>
        <v>77213-BZ150</v>
      </c>
      <c r="C58" s="14" t="s">
        <v>582</v>
      </c>
      <c r="D58" s="14" t="s">
        <v>1256</v>
      </c>
      <c r="E58" s="15">
        <v>247.5</v>
      </c>
      <c r="F58" s="14"/>
      <c r="G58" s="14"/>
      <c r="H58" s="14"/>
      <c r="I58" s="14"/>
      <c r="J58" s="15">
        <f t="shared" si="1"/>
        <v>247.5</v>
      </c>
      <c r="K58" s="14"/>
      <c r="L58" s="14"/>
      <c r="M58" s="15">
        <f t="shared" si="0"/>
        <v>247.5</v>
      </c>
      <c r="N58" s="14" t="str">
        <f>VLOOKUP(A58,[2]Sheet1!$B$4:$F$352,3,0)</f>
        <v>DL2</v>
      </c>
      <c r="O58" s="16">
        <f>VLOOKUP(A58,[2]Sheet1!$B$4:$F$352,4,0)</f>
        <v>4</v>
      </c>
      <c r="P58" s="16"/>
      <c r="Q58" s="16">
        <f>VLOOKUP(A58,[2]Sheet1!$B$4:$F$352,4,0)</f>
        <v>4</v>
      </c>
      <c r="R58" s="17">
        <f>VLOOKUP(A58,[1]Sheet1!$A$2:$F$379,3,0)</f>
        <v>34</v>
      </c>
      <c r="S58" s="16">
        <f>VLOOKUP(A58,[1]Sheet1!$A$2:$F$379,4,0)</f>
        <v>43</v>
      </c>
      <c r="T58" s="16" t="str">
        <f>VLOOKUP(A58,[1]Sheet1!$A$2:$F$379,5,0)</f>
        <v>428±2</v>
      </c>
      <c r="U58" s="16" t="str">
        <f>VLOOKUP(A58,[1]Sheet1!$A$2:$F$379,6,0)</f>
        <v>425-428</v>
      </c>
      <c r="V58" s="16"/>
      <c r="W58" s="16"/>
      <c r="X58" s="16"/>
      <c r="Y58" s="18" t="s">
        <v>1294</v>
      </c>
      <c r="Z58" s="22" t="s">
        <v>1295</v>
      </c>
    </row>
    <row r="59" spans="1:26" s="18" customFormat="1" x14ac:dyDescent="0.25">
      <c r="A59" s="13" t="s">
        <v>1095</v>
      </c>
      <c r="B59" s="14" t="str">
        <f>VLOOKUP(A59,[1]Sheet1!$A$2:$F$379,2,0)</f>
        <v>77269-BZ120</v>
      </c>
      <c r="C59" s="14" t="s">
        <v>572</v>
      </c>
      <c r="D59" s="14" t="s">
        <v>1256</v>
      </c>
      <c r="E59" s="15">
        <v>150.06</v>
      </c>
      <c r="F59" s="14"/>
      <c r="G59" s="14"/>
      <c r="H59" s="14"/>
      <c r="I59" s="14"/>
      <c r="J59" s="15">
        <f t="shared" si="1"/>
        <v>150.06</v>
      </c>
      <c r="K59" s="14"/>
      <c r="L59" s="14"/>
      <c r="M59" s="15">
        <f t="shared" si="0"/>
        <v>150.06</v>
      </c>
      <c r="N59" s="14" t="s">
        <v>1288</v>
      </c>
      <c r="O59" s="16" t="e">
        <f>VLOOKUP(A59,[2]Sheet1!$B$4:$F$352,4,0)</f>
        <v>#N/A</v>
      </c>
      <c r="P59" s="16"/>
      <c r="Q59" s="16" t="e">
        <f>VLOOKUP(A59,[2]Sheet1!$B$4:$F$352,4,0)</f>
        <v>#N/A</v>
      </c>
      <c r="R59" s="17">
        <f>VLOOKUP(A59,[1]Sheet1!$A$2:$F$379,3,0)</f>
        <v>13.5</v>
      </c>
      <c r="S59" s="16">
        <f>VLOOKUP(A59,[1]Sheet1!$A$2:$F$379,4,0)</f>
        <v>21.5</v>
      </c>
      <c r="T59" s="16" t="str">
        <f>VLOOKUP(A59,[1]Sheet1!$A$2:$F$379,5,0)</f>
        <v>590±2</v>
      </c>
      <c r="U59" s="16">
        <f>VLOOKUP(A59,[1]Sheet1!$A$2:$F$379,6,0)</f>
        <v>0</v>
      </c>
      <c r="V59" s="16"/>
      <c r="W59" s="16"/>
      <c r="X59" s="16"/>
      <c r="Y59" s="18" t="e">
        <f>VLOOKUP(A59,[3]Combi!$A$1:$B$304,2,0)</f>
        <v>#N/A</v>
      </c>
      <c r="Z59" s="22" t="s">
        <v>1299</v>
      </c>
    </row>
    <row r="60" spans="1:26" s="18" customFormat="1" x14ac:dyDescent="0.25">
      <c r="A60" s="13" t="s">
        <v>1116</v>
      </c>
      <c r="B60" s="14" t="str">
        <f>VLOOKUP(A60,[1]Sheet1!$A$2:$F$379,2,0)</f>
        <v>77754-BZ240</v>
      </c>
      <c r="C60" s="14" t="s">
        <v>641</v>
      </c>
      <c r="D60" s="14" t="s">
        <v>1245</v>
      </c>
      <c r="E60" s="15">
        <v>7.31</v>
      </c>
      <c r="F60" s="14" t="s">
        <v>1246</v>
      </c>
      <c r="G60" s="15">
        <v>40.19</v>
      </c>
      <c r="H60" s="14"/>
      <c r="I60" s="14"/>
      <c r="J60" s="15">
        <f t="shared" si="1"/>
        <v>47.5</v>
      </c>
      <c r="K60" s="14"/>
      <c r="L60" s="14"/>
      <c r="M60" s="15">
        <f t="shared" si="0"/>
        <v>47.5</v>
      </c>
      <c r="N60" s="14" t="str">
        <f>VLOOKUP(A60,[2]Sheet1!$B$4:$F$352,3,0)</f>
        <v>DL1</v>
      </c>
      <c r="O60" s="16">
        <f>VLOOKUP(A60,[2]Sheet1!$B$4:$F$352,4,0)</f>
        <v>4</v>
      </c>
      <c r="P60" s="16"/>
      <c r="Q60" s="16">
        <f>VLOOKUP(A60,[2]Sheet1!$B$4:$F$352,4,0)</f>
        <v>4</v>
      </c>
      <c r="R60" s="17">
        <f>VLOOKUP(A60,[1]Sheet1!$A$2:$F$379,3,0)</f>
        <v>5.4</v>
      </c>
      <c r="S60" s="16">
        <f>VLOOKUP(A60,[1]Sheet1!$A$2:$F$379,4,0)</f>
        <v>10.4</v>
      </c>
      <c r="T60" s="16" t="str">
        <f>VLOOKUP(A60,[1]Sheet1!$A$2:$F$379,5,0)</f>
        <v>210±2</v>
      </c>
      <c r="U60" s="16" t="str">
        <f>VLOOKUP(A60,[1]Sheet1!$A$2:$F$379,6,0)</f>
        <v>188-192</v>
      </c>
      <c r="V60" s="16"/>
      <c r="W60" s="16"/>
      <c r="X60" s="16"/>
      <c r="Y60" s="18" t="str">
        <f>VLOOKUP(A60,[3]Combi!$A$1:$B$304,2,0)</f>
        <v>SOP/PROD/HOSE/SPS/1/5</v>
      </c>
    </row>
    <row r="61" spans="1:26" s="18" customFormat="1" x14ac:dyDescent="0.25">
      <c r="A61" s="13" t="s">
        <v>1100</v>
      </c>
      <c r="B61" s="14" t="str">
        <f>VLOOKUP(A61,[1]Sheet1!$A$2:$F$379,2,0)</f>
        <v>77754-BZ260</v>
      </c>
      <c r="C61" s="14" t="s">
        <v>603</v>
      </c>
      <c r="D61" s="14" t="s">
        <v>1246</v>
      </c>
      <c r="E61" s="15">
        <v>40.200000000000003</v>
      </c>
      <c r="F61" s="14" t="s">
        <v>1245</v>
      </c>
      <c r="G61" s="15">
        <v>7.3</v>
      </c>
      <c r="H61" s="14"/>
      <c r="I61" s="14"/>
      <c r="J61" s="15">
        <f t="shared" si="1"/>
        <v>47.5</v>
      </c>
      <c r="K61" s="14"/>
      <c r="L61" s="14"/>
      <c r="M61" s="15">
        <f t="shared" si="0"/>
        <v>47.5</v>
      </c>
      <c r="N61" s="14" t="str">
        <f>VLOOKUP(A61,[2]Sheet1!$B$4:$F$352,3,0)</f>
        <v>DL1</v>
      </c>
      <c r="O61" s="16">
        <f>VLOOKUP(A61,[2]Sheet1!$B$4:$F$352,4,0)</f>
        <v>4</v>
      </c>
      <c r="P61" s="16"/>
      <c r="Q61" s="16">
        <f>VLOOKUP(A61,[2]Sheet1!$B$4:$F$352,4,0)</f>
        <v>4</v>
      </c>
      <c r="R61" s="17">
        <f>VLOOKUP(A61,[1]Sheet1!$A$2:$F$379,3,0)</f>
        <v>5.4</v>
      </c>
      <c r="S61" s="16">
        <f>VLOOKUP(A61,[1]Sheet1!$A$2:$F$379,4,0)</f>
        <v>10.4</v>
      </c>
      <c r="T61" s="16" t="str">
        <f>VLOOKUP(A61,[1]Sheet1!$A$2:$F$379,5,0)</f>
        <v>590±2</v>
      </c>
      <c r="U61" s="16" t="str">
        <f>VLOOKUP(A61,[1]Sheet1!$A$2:$F$379,6,0)</f>
        <v>535-540</v>
      </c>
      <c r="V61" s="16"/>
      <c r="W61" s="16"/>
      <c r="X61" s="16"/>
      <c r="Y61" s="18" t="str">
        <f>VLOOKUP(A61,[3]Combi!$A$1:$B$304,2,0)</f>
        <v>SOP/PROD/HOSE/SPS/1/5</v>
      </c>
    </row>
    <row r="62" spans="1:26" s="18" customFormat="1" x14ac:dyDescent="0.25">
      <c r="A62" s="13" t="s">
        <v>1093</v>
      </c>
      <c r="B62" s="14" t="str">
        <f>VLOOKUP(A62,[1]Sheet1!$A$2:$F$379,2,0)</f>
        <v>77754-BZ250</v>
      </c>
      <c r="C62" s="14" t="s">
        <v>562</v>
      </c>
      <c r="D62" s="14" t="s">
        <v>1245</v>
      </c>
      <c r="E62" s="15">
        <v>5.56</v>
      </c>
      <c r="F62" s="14" t="s">
        <v>1246</v>
      </c>
      <c r="G62" s="15">
        <v>29.88</v>
      </c>
      <c r="H62" s="14"/>
      <c r="I62" s="14"/>
      <c r="J62" s="15">
        <f t="shared" si="1"/>
        <v>35.44</v>
      </c>
      <c r="K62" s="14"/>
      <c r="L62" s="14"/>
      <c r="M62" s="15">
        <f t="shared" si="0"/>
        <v>35.44</v>
      </c>
      <c r="N62" s="14" t="str">
        <f>VLOOKUP(A62,[2]Sheet1!$B$4:$F$352,3,0)</f>
        <v>DL1</v>
      </c>
      <c r="O62" s="16">
        <f>VLOOKUP(A62,[2]Sheet1!$B$4:$F$352,4,0)</f>
        <v>7</v>
      </c>
      <c r="P62" s="16"/>
      <c r="Q62" s="16">
        <f>VLOOKUP(A62,[2]Sheet1!$B$4:$F$352,4,0)</f>
        <v>7</v>
      </c>
      <c r="R62" s="17">
        <f>VLOOKUP(A62,[1]Sheet1!$A$2:$F$379,3,0)</f>
        <v>5.4</v>
      </c>
      <c r="S62" s="16">
        <f>VLOOKUP(A62,[1]Sheet1!$A$2:$F$379,4,0)</f>
        <v>10.4</v>
      </c>
      <c r="T62" s="16" t="str">
        <f>VLOOKUP(A62,[1]Sheet1!$A$2:$F$379,5,0)</f>
        <v>438±2</v>
      </c>
      <c r="U62" s="16" t="str">
        <f>VLOOKUP(A62,[1]Sheet1!$A$2:$F$379,6,0)</f>
        <v>398-402</v>
      </c>
      <c r="V62" s="16"/>
      <c r="W62" s="16"/>
      <c r="X62" s="16"/>
      <c r="Y62" s="18" t="str">
        <f>VLOOKUP(A62,[3]Combi!$A$1:$B$304,2,0)</f>
        <v>SOP/PROD/HOSE/SPS/1/5</v>
      </c>
    </row>
    <row r="63" spans="1:26" s="18" customFormat="1" x14ac:dyDescent="0.25">
      <c r="A63" s="13" t="s">
        <v>1101</v>
      </c>
      <c r="B63" s="14" t="str">
        <f>VLOOKUP(A63,[1]Sheet1!$A$2:$F$379,2,0)</f>
        <v>77754-BZ230</v>
      </c>
      <c r="C63" s="14" t="s">
        <v>605</v>
      </c>
      <c r="D63" s="14" t="s">
        <v>1246</v>
      </c>
      <c r="E63" s="15">
        <v>15.16</v>
      </c>
      <c r="F63" s="14" t="s">
        <v>1245</v>
      </c>
      <c r="G63" s="15">
        <v>2.75</v>
      </c>
      <c r="H63" s="14"/>
      <c r="I63" s="14"/>
      <c r="J63" s="15">
        <f t="shared" si="1"/>
        <v>17.91</v>
      </c>
      <c r="K63" s="14"/>
      <c r="L63" s="14"/>
      <c r="M63" s="15">
        <f t="shared" si="0"/>
        <v>17.91</v>
      </c>
      <c r="N63" s="14" t="str">
        <f>VLOOKUP(A63,[2]Sheet1!$B$4:$F$352,3,0)</f>
        <v>DL1</v>
      </c>
      <c r="O63" s="16">
        <f>VLOOKUP(A63,[2]Sheet1!$B$4:$F$352,4,0)</f>
        <v>7</v>
      </c>
      <c r="P63" s="16"/>
      <c r="Q63" s="16">
        <f>VLOOKUP(A63,[2]Sheet1!$B$4:$F$352,4,0)</f>
        <v>7</v>
      </c>
      <c r="R63" s="17">
        <f>VLOOKUP(A63,[1]Sheet1!$A$2:$F$379,3,0)</f>
        <v>5.4</v>
      </c>
      <c r="S63" s="16">
        <f>VLOOKUP(A63,[1]Sheet1!$A$2:$F$379,4,0)</f>
        <v>10.4</v>
      </c>
      <c r="T63" s="16" t="str">
        <f>VLOOKUP(A63,[1]Sheet1!$A$2:$F$379,5,0)</f>
        <v>165±2</v>
      </c>
      <c r="U63" s="16" t="str">
        <f>VLOOKUP(A63,[1]Sheet1!$A$2:$F$379,6,0)</f>
        <v>145-149</v>
      </c>
      <c r="V63" s="16"/>
      <c r="W63" s="16"/>
      <c r="X63" s="16"/>
      <c r="Y63" s="18" t="str">
        <f>VLOOKUP(A63,[3]Combi!$A$1:$B$304,2,0)</f>
        <v>SOP/PROD/HOSE/SPS/1/5</v>
      </c>
    </row>
    <row r="64" spans="1:26" s="18" customFormat="1" x14ac:dyDescent="0.25">
      <c r="A64" s="13" t="s">
        <v>1110</v>
      </c>
      <c r="B64" s="14" t="str">
        <f>VLOOKUP(A64,[1]Sheet1!$A$2:$F$379,2,0)</f>
        <v>12261-BZ220</v>
      </c>
      <c r="C64" s="14" t="s">
        <v>627</v>
      </c>
      <c r="D64" s="14" t="s">
        <v>1235</v>
      </c>
      <c r="E64" s="15">
        <v>80.39</v>
      </c>
      <c r="F64" s="14" t="s">
        <v>1230</v>
      </c>
      <c r="G64" s="15">
        <v>17.46</v>
      </c>
      <c r="H64" s="14"/>
      <c r="I64" s="14"/>
      <c r="J64" s="15">
        <f t="shared" si="1"/>
        <v>97.85</v>
      </c>
      <c r="K64" s="14"/>
      <c r="L64" s="14"/>
      <c r="M64" s="15">
        <f t="shared" si="0"/>
        <v>97.85</v>
      </c>
      <c r="N64" s="14" t="str">
        <f>VLOOKUP(A64,[2]Sheet1!$B$4:$F$352,3,0)</f>
        <v>DL2</v>
      </c>
      <c r="O64" s="16">
        <f>VLOOKUP(A64,[2]Sheet1!$B$4:$F$352,4,0)</f>
        <v>4</v>
      </c>
      <c r="P64" s="16"/>
      <c r="Q64" s="16">
        <f>VLOOKUP(A64,[2]Sheet1!$B$4:$F$352,4,0)</f>
        <v>4</v>
      </c>
      <c r="R64" s="17">
        <f>VLOOKUP(A64,[1]Sheet1!$A$2:$F$379,3,0)</f>
        <v>9</v>
      </c>
      <c r="S64" s="16">
        <f>VLOOKUP(A64,[1]Sheet1!$A$2:$F$379,4,0)</f>
        <v>17</v>
      </c>
      <c r="T64" s="16" t="str">
        <f>VLOOKUP(A64,[1]Sheet1!$A$2:$F$379,5,0)</f>
        <v>520±2</v>
      </c>
      <c r="U64" s="16" t="str">
        <f>VLOOKUP(A64,[1]Sheet1!$A$2:$F$379,6,0)</f>
        <v>462-466</v>
      </c>
      <c r="V64" s="16"/>
      <c r="W64" s="16"/>
      <c r="X64" s="16"/>
      <c r="Y64" s="18" t="str">
        <f>VLOOKUP(A64,[3]Combi!$A$1:$B$304,2,0)</f>
        <v>SOP/PROD/HOSE/SPS/1/19</v>
      </c>
    </row>
    <row r="65" spans="1:26" s="18" customFormat="1" x14ac:dyDescent="0.25">
      <c r="A65" s="13" t="s">
        <v>1130</v>
      </c>
      <c r="B65" s="14" t="str">
        <f>VLOOKUP(A65,[1]Sheet1!$A$2:$F$379,2,0)</f>
        <v>23827-BZ060</v>
      </c>
      <c r="C65" s="14" t="s">
        <v>671</v>
      </c>
      <c r="D65" s="14" t="s">
        <v>1246</v>
      </c>
      <c r="E65" s="15">
        <v>17.670000000000002</v>
      </c>
      <c r="F65" s="14" t="s">
        <v>1245</v>
      </c>
      <c r="G65" s="15">
        <v>2.5299999999999998</v>
      </c>
      <c r="H65" s="14"/>
      <c r="I65" s="14"/>
      <c r="J65" s="15">
        <f t="shared" si="1"/>
        <v>20.200000000000003</v>
      </c>
      <c r="K65" s="14"/>
      <c r="L65" s="14"/>
      <c r="M65" s="15">
        <f t="shared" si="0"/>
        <v>20.200000000000003</v>
      </c>
      <c r="N65" s="14" t="str">
        <f>VLOOKUP(A65,[2]Sheet1!$B$4:$F$352,3,0)</f>
        <v>DL1</v>
      </c>
      <c r="O65" s="16">
        <f>VLOOKUP(A65,[2]Sheet1!$B$4:$F$352,4,0)</f>
        <v>7</v>
      </c>
      <c r="P65" s="16"/>
      <c r="Q65" s="16">
        <f>VLOOKUP(A65,[2]Sheet1!$B$4:$F$352,4,0)</f>
        <v>7</v>
      </c>
      <c r="R65" s="17">
        <f>VLOOKUP(A65,[1]Sheet1!$A$2:$F$379,3,0)</f>
        <v>7</v>
      </c>
      <c r="S65" s="16">
        <f>VLOOKUP(A65,[1]Sheet1!$A$2:$F$379,4,0)</f>
        <v>14</v>
      </c>
      <c r="T65" s="16" t="str">
        <f>VLOOKUP(A65,[1]Sheet1!$A$2:$F$379,5,0)</f>
        <v>148±2</v>
      </c>
      <c r="U65" s="16" t="str">
        <f>VLOOKUP(A65,[1]Sheet1!$A$2:$F$379,6,0)</f>
        <v>135-139</v>
      </c>
      <c r="V65" s="16"/>
      <c r="W65" s="16"/>
      <c r="X65" s="16"/>
      <c r="Y65" s="18" t="str">
        <f>VLOOKUP(A65,[3]Combi!$A$1:$B$304,2,0)</f>
        <v>SOP/PROD/HOSE/SPS/1/8</v>
      </c>
    </row>
    <row r="66" spans="1:26" s="18" customFormat="1" x14ac:dyDescent="0.25">
      <c r="A66" s="13" t="s">
        <v>1106</v>
      </c>
      <c r="B66" s="14" t="str">
        <f>VLOOKUP(A66,[1]Sheet1!$A$2:$F$379,2,0)</f>
        <v>77754-BZ320</v>
      </c>
      <c r="C66" s="14" t="s">
        <v>617</v>
      </c>
      <c r="D66" s="14" t="s">
        <v>1246</v>
      </c>
      <c r="E66" s="15">
        <v>17.329999999999998</v>
      </c>
      <c r="F66" s="14" t="s">
        <v>1245</v>
      </c>
      <c r="G66" s="15">
        <v>3.15</v>
      </c>
      <c r="H66" s="14"/>
      <c r="I66" s="14"/>
      <c r="J66" s="15">
        <f t="shared" si="1"/>
        <v>20.479999999999997</v>
      </c>
      <c r="K66" s="14"/>
      <c r="L66" s="14"/>
      <c r="M66" s="15">
        <f t="shared" ref="M66:M129" si="2">SUM(L66,I66,G66,E66)</f>
        <v>20.479999999999997</v>
      </c>
      <c r="N66" s="14" t="str">
        <f>VLOOKUP(A66,[2]Sheet1!$B$4:$F$352,3,0)</f>
        <v>DL1</v>
      </c>
      <c r="O66" s="16">
        <f>VLOOKUP(A66,[2]Sheet1!$B$4:$F$352,4,0)</f>
        <v>0</v>
      </c>
      <c r="P66" s="16"/>
      <c r="Q66" s="16">
        <f>VLOOKUP(A66,[2]Sheet1!$B$4:$F$352,4,0)</f>
        <v>0</v>
      </c>
      <c r="R66" s="17">
        <f>VLOOKUP(A66,[1]Sheet1!$A$2:$F$379,3,0)</f>
        <v>5.4</v>
      </c>
      <c r="S66" s="16">
        <f>VLOOKUP(A66,[1]Sheet1!$A$2:$F$379,4,0)</f>
        <v>10.4</v>
      </c>
      <c r="T66" s="16" t="str">
        <f>VLOOKUP(A66,[1]Sheet1!$A$2:$F$379,5,0)</f>
        <v>243±2</v>
      </c>
      <c r="U66" s="16">
        <f>VLOOKUP(A66,[1]Sheet1!$A$2:$F$379,6,0)</f>
        <v>0</v>
      </c>
      <c r="V66" s="16"/>
      <c r="W66" s="16"/>
      <c r="X66" s="16"/>
      <c r="Y66" s="18" t="e">
        <f>VLOOKUP(A66,[3]Combi!$A$1:$B$304,2,0)</f>
        <v>#N/A</v>
      </c>
      <c r="Z66" s="22" t="s">
        <v>1300</v>
      </c>
    </row>
    <row r="67" spans="1:26" s="18" customFormat="1" x14ac:dyDescent="0.25">
      <c r="A67" s="13" t="s">
        <v>1117</v>
      </c>
      <c r="B67" s="14" t="str">
        <f>VLOOKUP(A67,[1]Sheet1!$A$2:$F$379,2,0)</f>
        <v>77754-BZ330</v>
      </c>
      <c r="C67" s="14" t="s">
        <v>643</v>
      </c>
      <c r="D67" s="14" t="s">
        <v>1246</v>
      </c>
      <c r="E67" s="15">
        <v>15.25</v>
      </c>
      <c r="F67" s="14" t="s">
        <v>1245</v>
      </c>
      <c r="G67" s="15">
        <v>2.77</v>
      </c>
      <c r="H67" s="14"/>
      <c r="I67" s="14"/>
      <c r="J67" s="15">
        <f t="shared" ref="J67:J130" si="3">E67+G67+I67</f>
        <v>18.02</v>
      </c>
      <c r="K67" s="14"/>
      <c r="L67" s="14"/>
      <c r="M67" s="15">
        <f t="shared" si="2"/>
        <v>18.02</v>
      </c>
      <c r="N67" s="14" t="str">
        <f>VLOOKUP(A67,[2]Sheet1!$B$4:$F$352,3,0)</f>
        <v>DL1</v>
      </c>
      <c r="O67" s="16">
        <f>VLOOKUP(A67,[2]Sheet1!$B$4:$F$352,4,0)</f>
        <v>0</v>
      </c>
      <c r="P67" s="16"/>
      <c r="Q67" s="16">
        <f>VLOOKUP(A67,[2]Sheet1!$B$4:$F$352,4,0)</f>
        <v>0</v>
      </c>
      <c r="R67" s="17">
        <f>VLOOKUP(A67,[1]Sheet1!$A$2:$F$379,3,0)</f>
        <v>5.4</v>
      </c>
      <c r="S67" s="16">
        <f>VLOOKUP(A67,[1]Sheet1!$A$2:$F$379,4,0)</f>
        <v>10.4</v>
      </c>
      <c r="T67" s="16" t="str">
        <f>VLOOKUP(A67,[1]Sheet1!$A$2:$F$379,5,0)</f>
        <v>223±2</v>
      </c>
      <c r="U67" s="16" t="str">
        <f>VLOOKUP(A67,[1]Sheet1!$A$2:$F$379,6,0)</f>
        <v>201-204</v>
      </c>
      <c r="V67" s="16"/>
      <c r="W67" s="16"/>
      <c r="X67" s="16"/>
      <c r="Y67" s="18" t="e">
        <f>VLOOKUP(A67,[3]Combi!$A$1:$B$304,2,0)</f>
        <v>#N/A</v>
      </c>
      <c r="Z67" s="22" t="s">
        <v>1300</v>
      </c>
    </row>
    <row r="68" spans="1:26" s="18" customFormat="1" x14ac:dyDescent="0.25">
      <c r="A68" s="13" t="s">
        <v>945</v>
      </c>
      <c r="B68" s="14" t="str">
        <f>VLOOKUP(A68,[1]Sheet1!$A$2:$F$379,2,0)</f>
        <v>77754-BZ300</v>
      </c>
      <c r="C68" s="14" t="s">
        <v>199</v>
      </c>
      <c r="D68" s="14" t="s">
        <v>1246</v>
      </c>
      <c r="E68" s="15">
        <v>12.8</v>
      </c>
      <c r="F68" s="14" t="s">
        <v>1245</v>
      </c>
      <c r="G68" s="15">
        <v>2.3199999999999998</v>
      </c>
      <c r="H68" s="14"/>
      <c r="I68" s="14"/>
      <c r="J68" s="15">
        <f t="shared" si="3"/>
        <v>15.120000000000001</v>
      </c>
      <c r="K68" s="14"/>
      <c r="L68" s="14"/>
      <c r="M68" s="15">
        <f t="shared" si="2"/>
        <v>15.120000000000001</v>
      </c>
      <c r="N68" s="14" t="str">
        <f>VLOOKUP(A68,[2]Sheet1!$B$4:$F$352,3,0)</f>
        <v>DL1</v>
      </c>
      <c r="O68" s="16">
        <f>VLOOKUP(A68,[2]Sheet1!$B$4:$F$352,4,0)</f>
        <v>0</v>
      </c>
      <c r="P68" s="16"/>
      <c r="Q68" s="16">
        <f>VLOOKUP(A68,[2]Sheet1!$B$4:$F$352,4,0)</f>
        <v>0</v>
      </c>
      <c r="R68" s="17">
        <f>VLOOKUP(A68,[1]Sheet1!$A$2:$F$379,3,0)</f>
        <v>5.4</v>
      </c>
      <c r="S68" s="16">
        <f>VLOOKUP(A68,[1]Sheet1!$A$2:$F$379,4,0)</f>
        <v>10.4</v>
      </c>
      <c r="T68" s="16" t="str">
        <f>VLOOKUP(A68,[1]Sheet1!$A$2:$F$379,5,0)</f>
        <v>203±2</v>
      </c>
      <c r="U68" s="16" t="str">
        <f>VLOOKUP(A68,[1]Sheet1!$A$2:$F$379,6,0)</f>
        <v>188-192</v>
      </c>
      <c r="V68" s="16"/>
      <c r="W68" s="16"/>
      <c r="X68" s="16"/>
      <c r="Y68" s="18" t="str">
        <f>VLOOKUP(A68,[3]Combi!$A$1:$B$304,2,0)</f>
        <v>SOP/PROD/HOSE/SPS/1/5</v>
      </c>
    </row>
    <row r="69" spans="1:26" s="18" customFormat="1" x14ac:dyDescent="0.25">
      <c r="A69" s="13" t="s">
        <v>946</v>
      </c>
      <c r="B69" s="14" t="str">
        <f>VLOOKUP(A69,[1]Sheet1!$A$2:$F$379,2,0)</f>
        <v>77754-BZ310</v>
      </c>
      <c r="C69" s="14" t="s">
        <v>202</v>
      </c>
      <c r="D69" s="14" t="s">
        <v>1246</v>
      </c>
      <c r="E69" s="15">
        <v>13.18</v>
      </c>
      <c r="F69" s="14" t="s">
        <v>1245</v>
      </c>
      <c r="G69" s="15">
        <v>2.39</v>
      </c>
      <c r="H69" s="14"/>
      <c r="I69" s="14"/>
      <c r="J69" s="15">
        <f t="shared" si="3"/>
        <v>15.57</v>
      </c>
      <c r="K69" s="14"/>
      <c r="L69" s="14"/>
      <c r="M69" s="15">
        <f t="shared" si="2"/>
        <v>15.57</v>
      </c>
      <c r="N69" s="14" t="str">
        <f>VLOOKUP(A69,[2]Sheet1!$B$4:$F$352,3,0)</f>
        <v>DL1</v>
      </c>
      <c r="O69" s="16">
        <f>VLOOKUP(A69,[2]Sheet1!$B$4:$F$352,4,0)</f>
        <v>0</v>
      </c>
      <c r="P69" s="16"/>
      <c r="Q69" s="16">
        <f>VLOOKUP(A69,[2]Sheet1!$B$4:$F$352,4,0)</f>
        <v>0</v>
      </c>
      <c r="R69" s="17">
        <f>VLOOKUP(A69,[1]Sheet1!$A$2:$F$379,3,0)</f>
        <v>5.4</v>
      </c>
      <c r="S69" s="16">
        <f>VLOOKUP(A69,[1]Sheet1!$A$2:$F$379,4,0)</f>
        <v>10.4</v>
      </c>
      <c r="T69" s="16" t="str">
        <f>VLOOKUP(A69,[1]Sheet1!$A$2:$F$379,5,0)</f>
        <v>213±2</v>
      </c>
      <c r="U69" s="16" t="str">
        <f>VLOOKUP(A69,[1]Sheet1!$A$2:$F$379,6,0)</f>
        <v>195-199</v>
      </c>
      <c r="V69" s="16"/>
      <c r="W69" s="16"/>
      <c r="X69" s="16"/>
      <c r="Y69" s="18" t="str">
        <f>VLOOKUP(A69,[3]Combi!$A$1:$B$304,2,0)</f>
        <v>SOP/PROD/HOSE/SPS/1/5</v>
      </c>
    </row>
    <row r="70" spans="1:26" s="18" customFormat="1" x14ac:dyDescent="0.25">
      <c r="A70" s="13" t="s">
        <v>1049</v>
      </c>
      <c r="B70" s="14" t="str">
        <f>VLOOKUP(A70,[1]Sheet1!$A$2:$F$379,2,0)</f>
        <v>16267-BZ080</v>
      </c>
      <c r="C70" s="14" t="s">
        <v>458</v>
      </c>
      <c r="D70" s="14" t="s">
        <v>1237</v>
      </c>
      <c r="E70" s="15">
        <v>104.31</v>
      </c>
      <c r="F70" s="14"/>
      <c r="G70" s="14"/>
      <c r="H70" s="14"/>
      <c r="I70" s="14"/>
      <c r="J70" s="15">
        <f t="shared" si="3"/>
        <v>104.31</v>
      </c>
      <c r="K70" s="14" t="s">
        <v>1265</v>
      </c>
      <c r="L70" s="15">
        <v>3.42</v>
      </c>
      <c r="M70" s="15">
        <f t="shared" si="2"/>
        <v>107.73</v>
      </c>
      <c r="N70" s="14" t="str">
        <f>VLOOKUP(A70,[2]Sheet1!$B$4:$F$352,3,0)</f>
        <v>CHS2L</v>
      </c>
      <c r="O70" s="16">
        <f>VLOOKUP(A70,[2]Sheet1!$B$4:$F$352,4,0)</f>
        <v>7</v>
      </c>
      <c r="P70" s="16"/>
      <c r="Q70" s="16">
        <f>VLOOKUP(A70,[2]Sheet1!$B$4:$F$352,4,0)</f>
        <v>7</v>
      </c>
      <c r="R70" s="17">
        <f>VLOOKUP(A70,[1]Sheet1!$A$2:$F$379,3,0)</f>
        <v>16</v>
      </c>
      <c r="S70" s="16">
        <f>VLOOKUP(A70,[1]Sheet1!$A$2:$F$379,4,0)</f>
        <v>24</v>
      </c>
      <c r="T70" s="16">
        <f>VLOOKUP(A70,[1]Sheet1!$A$2:$F$379,5,0)</f>
        <v>369</v>
      </c>
      <c r="U70" s="16" t="str">
        <f>VLOOKUP(A70,[1]Sheet1!$A$2:$F$379,6,0)</f>
        <v>365±1</v>
      </c>
      <c r="V70" s="16"/>
      <c r="W70" s="16"/>
      <c r="X70" s="16"/>
      <c r="Y70" s="18" t="str">
        <f>VLOOKUP(A70,[3]Combi!$A$1:$B$304,2,0)</f>
        <v>SOP/PROD/HOSE/SPS/2/7</v>
      </c>
    </row>
    <row r="71" spans="1:26" s="18" customFormat="1" x14ac:dyDescent="0.25">
      <c r="A71" s="13" t="s">
        <v>1002</v>
      </c>
      <c r="B71" s="14" t="str">
        <f>VLOOKUP(A71,[1]Sheet1!$A$2:$F$379,2,0)</f>
        <v>16261-BZ550</v>
      </c>
      <c r="C71" s="14" t="s">
        <v>343</v>
      </c>
      <c r="D71" s="14" t="s">
        <v>1237</v>
      </c>
      <c r="E71" s="15">
        <v>81.319999999999993</v>
      </c>
      <c r="F71" s="14"/>
      <c r="G71" s="14"/>
      <c r="H71" s="14"/>
      <c r="I71" s="14"/>
      <c r="J71" s="15">
        <f t="shared" si="3"/>
        <v>81.319999999999993</v>
      </c>
      <c r="K71" s="14" t="s">
        <v>1268</v>
      </c>
      <c r="L71" s="15">
        <v>1.88</v>
      </c>
      <c r="M71" s="15">
        <f t="shared" si="2"/>
        <v>83.199999999999989</v>
      </c>
      <c r="N71" s="14" t="str">
        <f>VLOOKUP(A71,[2]Sheet1!$B$4:$F$352,3,0)</f>
        <v>CHS2L</v>
      </c>
      <c r="O71" s="16">
        <f>VLOOKUP(A71,[2]Sheet1!$B$4:$F$352,4,0)</f>
        <v>5</v>
      </c>
      <c r="P71" s="16"/>
      <c r="Q71" s="16">
        <f>VLOOKUP(A71,[2]Sheet1!$B$4:$F$352,4,0)</f>
        <v>5</v>
      </c>
      <c r="R71" s="17">
        <f>VLOOKUP(A71,[1]Sheet1!$A$2:$F$379,3,0)</f>
        <v>7.5</v>
      </c>
      <c r="S71" s="16">
        <f>VLOOKUP(A71,[1]Sheet1!$A$2:$F$379,4,0)</f>
        <v>14.5</v>
      </c>
      <c r="T71" s="16">
        <f>VLOOKUP(A71,[1]Sheet1!$A$2:$F$379,5,0)</f>
        <v>680</v>
      </c>
      <c r="U71" s="16" t="str">
        <f>VLOOKUP(A71,[1]Sheet1!$A$2:$F$379,6,0)</f>
        <v>669±4</v>
      </c>
      <c r="V71" s="16"/>
      <c r="W71" s="16"/>
      <c r="X71" s="16"/>
      <c r="Y71" s="18" t="str">
        <f>VLOOKUP(A71,[3]Combi!$A$1:$B$304,2,0)</f>
        <v>SOP/PROD/HOSE/SPS/2/17</v>
      </c>
    </row>
    <row r="72" spans="1:26" s="18" customFormat="1" x14ac:dyDescent="0.25">
      <c r="A72" s="13" t="s">
        <v>1003</v>
      </c>
      <c r="B72" s="14" t="str">
        <f>VLOOKUP(A72,[1]Sheet1!$A$2:$F$379,2,0)</f>
        <v>16281-BZ070</v>
      </c>
      <c r="C72" s="14" t="s">
        <v>346</v>
      </c>
      <c r="D72" s="14" t="s">
        <v>1237</v>
      </c>
      <c r="E72" s="15">
        <v>46.52</v>
      </c>
      <c r="F72" s="14"/>
      <c r="G72" s="14"/>
      <c r="H72" s="14"/>
      <c r="I72" s="14"/>
      <c r="J72" s="15">
        <f t="shared" si="3"/>
        <v>46.52</v>
      </c>
      <c r="K72" s="14" t="s">
        <v>1265</v>
      </c>
      <c r="L72" s="15">
        <v>1.22</v>
      </c>
      <c r="M72" s="15">
        <f t="shared" si="2"/>
        <v>47.74</v>
      </c>
      <c r="N72" s="14" t="str">
        <f>VLOOKUP(A72,[2]Sheet1!$B$4:$F$352,3,0)</f>
        <v>CHS2L</v>
      </c>
      <c r="O72" s="16">
        <f>VLOOKUP(A72,[2]Sheet1!$B$4:$F$352,4,0)</f>
        <v>4</v>
      </c>
      <c r="P72" s="16"/>
      <c r="Q72" s="16">
        <f>VLOOKUP(A72,[2]Sheet1!$B$4:$F$352,4,0)</f>
        <v>4</v>
      </c>
      <c r="R72" s="17">
        <f>VLOOKUP(A72,[1]Sheet1!$A$2:$F$379,3,0)</f>
        <v>21</v>
      </c>
      <c r="S72" s="16">
        <f>VLOOKUP(A72,[1]Sheet1!$A$2:$F$379,4,0)</f>
        <v>29</v>
      </c>
      <c r="T72" s="16">
        <f>VLOOKUP(A72,[1]Sheet1!$A$2:$F$379,5,0)</f>
        <v>148</v>
      </c>
      <c r="U72" s="16" t="str">
        <f>VLOOKUP(A72,[1]Sheet1!$A$2:$F$379,6,0)</f>
        <v>140±1</v>
      </c>
      <c r="V72" s="16"/>
      <c r="W72" s="16"/>
      <c r="X72" s="16"/>
      <c r="Y72" s="18" t="str">
        <f>VLOOKUP(A72,[3]Combi!$A$1:$B$304,2,0)</f>
        <v>SOP/PROD/HOSE/SPS/2/18</v>
      </c>
    </row>
    <row r="73" spans="1:26" s="18" customFormat="1" x14ac:dyDescent="0.25">
      <c r="A73" s="13" t="s">
        <v>1000</v>
      </c>
      <c r="B73" s="14" t="str">
        <f>VLOOKUP(A73,[1]Sheet1!$A$2:$F$379,2,0)</f>
        <v>16571-BZ390</v>
      </c>
      <c r="C73" s="14" t="s">
        <v>339</v>
      </c>
      <c r="D73" s="14" t="s">
        <v>1237</v>
      </c>
      <c r="E73" s="15">
        <v>86.68</v>
      </c>
      <c r="F73" s="14"/>
      <c r="G73" s="14"/>
      <c r="H73" s="14"/>
      <c r="I73" s="14"/>
      <c r="J73" s="15">
        <f t="shared" si="3"/>
        <v>86.68</v>
      </c>
      <c r="K73" s="14" t="s">
        <v>1266</v>
      </c>
      <c r="L73" s="15">
        <v>3.46</v>
      </c>
      <c r="M73" s="15">
        <f t="shared" si="2"/>
        <v>90.14</v>
      </c>
      <c r="N73" s="14" t="str">
        <f>VLOOKUP(A73,[2]Sheet1!$B$4:$F$352,3,0)</f>
        <v>CHS2L</v>
      </c>
      <c r="O73" s="16">
        <f>VLOOKUP(A73,[2]Sheet1!$B$4:$F$352,4,0)</f>
        <v>7</v>
      </c>
      <c r="P73" s="16"/>
      <c r="Q73" s="16">
        <f>VLOOKUP(A73,[2]Sheet1!$B$4:$F$352,4,0)</f>
        <v>7</v>
      </c>
      <c r="R73" s="17">
        <f>VLOOKUP(A73,[1]Sheet1!$A$2:$F$379,3,0)</f>
        <v>30.4</v>
      </c>
      <c r="S73" s="16">
        <f>VLOOKUP(A73,[1]Sheet1!$A$2:$F$379,4,0)</f>
        <v>38.4</v>
      </c>
      <c r="T73" s="16">
        <f>VLOOKUP(A73,[1]Sheet1!$A$2:$F$379,5,0)</f>
        <v>181</v>
      </c>
      <c r="U73" s="16" t="str">
        <f>VLOOKUP(A73,[1]Sheet1!$A$2:$F$379,6,0)</f>
        <v>180±1</v>
      </c>
      <c r="V73" s="16"/>
      <c r="W73" s="16"/>
      <c r="X73" s="16"/>
      <c r="Y73" s="18" t="str">
        <f>VLOOKUP(A73,[3]Combi!$A$1:$B$304,2,0)</f>
        <v>SOP/PROD/HOSE/SPS/2/14</v>
      </c>
    </row>
    <row r="74" spans="1:26" s="18" customFormat="1" x14ac:dyDescent="0.25">
      <c r="A74" s="13" t="s">
        <v>1030</v>
      </c>
      <c r="B74" s="14" t="str">
        <f>VLOOKUP(A74,[1]Sheet1!$A$2:$F$379,2,0)</f>
        <v>16264-BZ220</v>
      </c>
      <c r="C74" s="14" t="s">
        <v>412</v>
      </c>
      <c r="D74" s="14" t="s">
        <v>1237</v>
      </c>
      <c r="E74" s="15">
        <v>181.84</v>
      </c>
      <c r="F74" s="14"/>
      <c r="G74" s="14"/>
      <c r="H74" s="14"/>
      <c r="I74" s="14"/>
      <c r="J74" s="15">
        <f t="shared" si="3"/>
        <v>181.84</v>
      </c>
      <c r="K74" s="14" t="s">
        <v>1265</v>
      </c>
      <c r="L74" s="15">
        <v>6.4</v>
      </c>
      <c r="M74" s="15">
        <f t="shared" si="2"/>
        <v>188.24</v>
      </c>
      <c r="N74" s="14" t="str">
        <f>VLOOKUP(A74,[2]Sheet1!$B$4:$F$352,3,0)</f>
        <v>CHS2L</v>
      </c>
      <c r="O74" s="16">
        <f>VLOOKUP(A74,[2]Sheet1!$B$4:$F$352,4,0)</f>
        <v>7</v>
      </c>
      <c r="P74" s="16"/>
      <c r="Q74" s="16">
        <f>VLOOKUP(A74,[2]Sheet1!$B$4:$F$352,4,0)</f>
        <v>7</v>
      </c>
      <c r="R74" s="17">
        <f>VLOOKUP(A74,[1]Sheet1!$A$2:$F$379,3,0)</f>
        <v>13</v>
      </c>
      <c r="S74" s="16">
        <f>VLOOKUP(A74,[1]Sheet1!$A$2:$F$379,4,0)</f>
        <v>21</v>
      </c>
      <c r="T74" s="16">
        <f>VLOOKUP(A74,[1]Sheet1!$A$2:$F$379,5,0)</f>
        <v>805</v>
      </c>
      <c r="U74" s="16" t="str">
        <f>VLOOKUP(A74,[1]Sheet1!$A$2:$F$379,6,0)</f>
        <v>799±1</v>
      </c>
      <c r="V74" s="16"/>
      <c r="W74" s="16"/>
      <c r="X74" s="16"/>
      <c r="Y74" s="18" t="str">
        <f>VLOOKUP(A74,[3]Combi!$A$1:$B$304,2,0)</f>
        <v>SOP/PROD/HOSE/SPS/2/9</v>
      </c>
    </row>
    <row r="75" spans="1:26" s="18" customFormat="1" x14ac:dyDescent="0.25">
      <c r="A75" s="13" t="s">
        <v>1031</v>
      </c>
      <c r="B75" s="14" t="str">
        <f>VLOOKUP(A75,[1]Sheet1!$A$2:$F$379,2,0)</f>
        <v>16261-BZ560</v>
      </c>
      <c r="C75" s="14" t="s">
        <v>414</v>
      </c>
      <c r="D75" s="14" t="s">
        <v>1237</v>
      </c>
      <c r="E75" s="15">
        <v>79.56</v>
      </c>
      <c r="F75" s="14"/>
      <c r="G75" s="14"/>
      <c r="H75" s="14"/>
      <c r="I75" s="14"/>
      <c r="J75" s="15">
        <f t="shared" si="3"/>
        <v>79.56</v>
      </c>
      <c r="K75" s="14" t="s">
        <v>1265</v>
      </c>
      <c r="L75" s="15">
        <v>2.8</v>
      </c>
      <c r="M75" s="15">
        <f t="shared" si="2"/>
        <v>82.36</v>
      </c>
      <c r="N75" s="14" t="str">
        <f>VLOOKUP(A75,[2]Sheet1!$B$4:$F$352,3,0)</f>
        <v>CHS2L</v>
      </c>
      <c r="O75" s="16">
        <f>VLOOKUP(A75,[2]Sheet1!$B$4:$F$352,4,0)</f>
        <v>5</v>
      </c>
      <c r="P75" s="16"/>
      <c r="Q75" s="16">
        <f>VLOOKUP(A75,[2]Sheet1!$B$4:$F$352,4,0)</f>
        <v>5</v>
      </c>
      <c r="R75" s="17">
        <f>VLOOKUP(A75,[1]Sheet1!$A$2:$F$379,3,0)</f>
        <v>13</v>
      </c>
      <c r="S75" s="16">
        <f>VLOOKUP(A75,[1]Sheet1!$A$2:$F$379,4,0)</f>
        <v>21</v>
      </c>
      <c r="T75" s="16">
        <f>VLOOKUP(A75,[1]Sheet1!$A$2:$F$379,5,0)</f>
        <v>366</v>
      </c>
      <c r="U75" s="16" t="str">
        <f>VLOOKUP(A75,[1]Sheet1!$A$2:$F$379,6,0)</f>
        <v>360±1</v>
      </c>
      <c r="V75" s="16"/>
      <c r="W75" s="16"/>
      <c r="X75" s="16"/>
      <c r="Y75" s="18" t="str">
        <f>VLOOKUP(A75,[3]Combi!$A$1:$B$304,2,0)</f>
        <v>SOP/PROD/HOSE/SPS/2/9</v>
      </c>
    </row>
    <row r="76" spans="1:26" s="18" customFormat="1" x14ac:dyDescent="0.25">
      <c r="A76" s="13" t="s">
        <v>996</v>
      </c>
      <c r="B76" s="14" t="str">
        <f>VLOOKUP(A76,[1]Sheet1!$A$2:$F$379,2,0)</f>
        <v>87246-BZ220</v>
      </c>
      <c r="C76" s="14" t="s">
        <v>331</v>
      </c>
      <c r="D76" s="14" t="s">
        <v>1237</v>
      </c>
      <c r="E76" s="15">
        <v>102.29</v>
      </c>
      <c r="F76" s="14"/>
      <c r="G76" s="14"/>
      <c r="H76" s="14"/>
      <c r="I76" s="14"/>
      <c r="J76" s="15">
        <f t="shared" si="3"/>
        <v>102.29</v>
      </c>
      <c r="K76" s="14" t="s">
        <v>1265</v>
      </c>
      <c r="L76" s="15">
        <v>3.6</v>
      </c>
      <c r="M76" s="15">
        <f t="shared" si="2"/>
        <v>105.89</v>
      </c>
      <c r="N76" s="14" t="str">
        <f>VLOOKUP(A76,[2]Sheet1!$B$4:$F$352,3,0)</f>
        <v>CHS2L</v>
      </c>
      <c r="O76" s="16">
        <f>VLOOKUP(A76,[2]Sheet1!$B$4:$F$352,4,0)</f>
        <v>0</v>
      </c>
      <c r="P76" s="16"/>
      <c r="Q76" s="16">
        <f>VLOOKUP(A76,[2]Sheet1!$B$4:$F$352,4,0)</f>
        <v>0</v>
      </c>
      <c r="R76" s="17">
        <f>VLOOKUP(A76,[1]Sheet1!$A$2:$F$379,3,0)</f>
        <v>13</v>
      </c>
      <c r="S76" s="16">
        <f>VLOOKUP(A76,[1]Sheet1!$A$2:$F$379,4,0)</f>
        <v>21</v>
      </c>
      <c r="T76" s="16">
        <f>VLOOKUP(A76,[1]Sheet1!$A$2:$F$379,5,0)</f>
        <v>498</v>
      </c>
      <c r="U76" s="16" t="str">
        <f>VLOOKUP(A76,[1]Sheet1!$A$2:$F$379,6,0)</f>
        <v>491±1</v>
      </c>
      <c r="V76" s="16"/>
      <c r="W76" s="16"/>
      <c r="X76" s="16"/>
      <c r="Y76" s="18" t="str">
        <f>VLOOKUP(A76,[3]Combi!$A$1:$B$304,2,0)</f>
        <v>SOP/PROD/HOSE/SPS/2/9</v>
      </c>
    </row>
    <row r="77" spans="1:26" s="18" customFormat="1" x14ac:dyDescent="0.25">
      <c r="A77" s="13" t="s">
        <v>1024</v>
      </c>
      <c r="B77" s="14" t="str">
        <f>VLOOKUP(A77,[1]Sheet1!$A$2:$F$379,2,0)</f>
        <v>87246-BZ310</v>
      </c>
      <c r="C77" s="14" t="s">
        <v>400</v>
      </c>
      <c r="D77" s="14" t="s">
        <v>1237</v>
      </c>
      <c r="E77" s="15">
        <v>101.15</v>
      </c>
      <c r="F77" s="14"/>
      <c r="G77" s="14"/>
      <c r="H77" s="14"/>
      <c r="I77" s="14"/>
      <c r="J77" s="15">
        <f t="shared" si="3"/>
        <v>101.15</v>
      </c>
      <c r="K77" s="14" t="s">
        <v>1265</v>
      </c>
      <c r="L77" s="15">
        <v>3.56</v>
      </c>
      <c r="M77" s="15">
        <f t="shared" si="2"/>
        <v>104.71000000000001</v>
      </c>
      <c r="N77" s="14" t="str">
        <f>VLOOKUP(A77,[2]Sheet1!$B$4:$F$352,3,0)</f>
        <v>CHS2L</v>
      </c>
      <c r="O77" s="16">
        <f>VLOOKUP(A77,[2]Sheet1!$B$4:$F$352,4,0)</f>
        <v>0</v>
      </c>
      <c r="P77" s="16"/>
      <c r="Q77" s="16">
        <f>VLOOKUP(A77,[2]Sheet1!$B$4:$F$352,4,0)</f>
        <v>0</v>
      </c>
      <c r="R77" s="17">
        <f>VLOOKUP(A77,[1]Sheet1!$A$2:$F$379,3,0)</f>
        <v>13</v>
      </c>
      <c r="S77" s="16">
        <f>VLOOKUP(A77,[1]Sheet1!$A$2:$F$379,4,0)</f>
        <v>21</v>
      </c>
      <c r="T77" s="16">
        <f>VLOOKUP(A77,[1]Sheet1!$A$2:$F$379,5,0)</f>
        <v>445</v>
      </c>
      <c r="U77" s="16" t="str">
        <f>VLOOKUP(A77,[1]Sheet1!$A$2:$F$379,6,0)</f>
        <v>438±1</v>
      </c>
      <c r="V77" s="16"/>
      <c r="W77" s="16"/>
      <c r="X77" s="16"/>
      <c r="Y77" s="18" t="str">
        <f>VLOOKUP(A77,[3]Combi!$A$1:$B$304,2,0)</f>
        <v>SOP/PROD/HOSE/SPS/2/9</v>
      </c>
    </row>
    <row r="78" spans="1:26" s="18" customFormat="1" x14ac:dyDescent="0.25">
      <c r="A78" s="13" t="s">
        <v>1008</v>
      </c>
      <c r="B78" s="14" t="str">
        <f>VLOOKUP(A78,[1]Sheet1!$A$2:$F$379,2,0)</f>
        <v>87245-BZ280</v>
      </c>
      <c r="C78" s="14" t="s">
        <v>362</v>
      </c>
      <c r="D78" s="14" t="s">
        <v>1237</v>
      </c>
      <c r="E78" s="15">
        <v>77.28</v>
      </c>
      <c r="F78" s="14"/>
      <c r="G78" s="14"/>
      <c r="H78" s="14"/>
      <c r="I78" s="14"/>
      <c r="J78" s="15">
        <f t="shared" si="3"/>
        <v>77.28</v>
      </c>
      <c r="K78" s="14" t="s">
        <v>1265</v>
      </c>
      <c r="L78" s="15">
        <v>2.72</v>
      </c>
      <c r="M78" s="15">
        <f t="shared" si="2"/>
        <v>80</v>
      </c>
      <c r="N78" s="14" t="str">
        <f>VLOOKUP(A78,[2]Sheet1!$B$4:$F$352,3,0)</f>
        <v>CHS2L</v>
      </c>
      <c r="O78" s="16">
        <f>VLOOKUP(A78,[2]Sheet1!$B$4:$F$352,4,0)</f>
        <v>0</v>
      </c>
      <c r="P78" s="16"/>
      <c r="Q78" s="16">
        <f>VLOOKUP(A78,[2]Sheet1!$B$4:$F$352,4,0)</f>
        <v>0</v>
      </c>
      <c r="R78" s="17">
        <f>VLOOKUP(A78,[1]Sheet1!$A$2:$F$379,3,0)</f>
        <v>13</v>
      </c>
      <c r="S78" s="16">
        <f>VLOOKUP(A78,[1]Sheet1!$A$2:$F$379,4,0)</f>
        <v>21</v>
      </c>
      <c r="T78" s="16">
        <f>VLOOKUP(A78,[1]Sheet1!$A$2:$F$379,5,0)</f>
        <v>363</v>
      </c>
      <c r="U78" s="16" t="str">
        <f>VLOOKUP(A78,[1]Sheet1!$A$2:$F$379,6,0)</f>
        <v>356±1</v>
      </c>
      <c r="V78" s="16"/>
      <c r="W78" s="16"/>
      <c r="X78" s="16"/>
      <c r="Y78" s="18" t="str">
        <f>VLOOKUP(A78,[3]Combi!$A$1:$B$304,2,0)</f>
        <v>SOP/PROD/HOSE/SPS/2/9</v>
      </c>
    </row>
    <row r="79" spans="1:26" s="18" customFormat="1" x14ac:dyDescent="0.25">
      <c r="A79" s="13" t="s">
        <v>1025</v>
      </c>
      <c r="B79" s="14" t="str">
        <f>VLOOKUP(A79,[1]Sheet1!$A$2:$F$379,2,0)</f>
        <v>87245-BZ370</v>
      </c>
      <c r="C79" s="14" t="s">
        <v>402</v>
      </c>
      <c r="D79" s="14" t="s">
        <v>1237</v>
      </c>
      <c r="E79" s="15">
        <v>93.2</v>
      </c>
      <c r="F79" s="14"/>
      <c r="G79" s="14"/>
      <c r="H79" s="14"/>
      <c r="I79" s="14"/>
      <c r="J79" s="15">
        <f t="shared" si="3"/>
        <v>93.2</v>
      </c>
      <c r="K79" s="14" t="s">
        <v>1265</v>
      </c>
      <c r="L79" s="15">
        <v>3.28</v>
      </c>
      <c r="M79" s="15">
        <f t="shared" si="2"/>
        <v>96.48</v>
      </c>
      <c r="N79" s="14" t="str">
        <f>VLOOKUP(A79,[2]Sheet1!$B$4:$F$352,3,0)</f>
        <v>CHS2L</v>
      </c>
      <c r="O79" s="16">
        <f>VLOOKUP(A79,[2]Sheet1!$B$4:$F$352,4,0)</f>
        <v>0</v>
      </c>
      <c r="P79" s="16"/>
      <c r="Q79" s="16">
        <f>VLOOKUP(A79,[2]Sheet1!$B$4:$F$352,4,0)</f>
        <v>0</v>
      </c>
      <c r="R79" s="17">
        <f>VLOOKUP(A79,[1]Sheet1!$A$2:$F$379,3,0)</f>
        <v>13</v>
      </c>
      <c r="S79" s="16">
        <f>VLOOKUP(A79,[1]Sheet1!$A$2:$F$379,4,0)</f>
        <v>21</v>
      </c>
      <c r="T79" s="16">
        <f>VLOOKUP(A79,[1]Sheet1!$A$2:$F$379,5,0)</f>
        <v>420</v>
      </c>
      <c r="U79" s="16" t="str">
        <f>VLOOKUP(A79,[1]Sheet1!$A$2:$F$379,6,0)</f>
        <v>413±1</v>
      </c>
      <c r="V79" s="16"/>
      <c r="W79" s="16"/>
      <c r="X79" s="16"/>
      <c r="Y79" s="18" t="str">
        <f>VLOOKUP(A79,[3]Combi!$A$1:$B$304,2,0)</f>
        <v>SOP/PROD/HOSE/SPS/2/9</v>
      </c>
    </row>
    <row r="80" spans="1:26" s="18" customFormat="1" x14ac:dyDescent="0.25">
      <c r="A80" s="13" t="s">
        <v>1033</v>
      </c>
      <c r="B80" s="14" t="str">
        <f>VLOOKUP(A80,[1]Sheet1!$A$2:$F$379,2,0)</f>
        <v>23826-BZ020-H</v>
      </c>
      <c r="C80" s="14" t="s">
        <v>418</v>
      </c>
      <c r="D80" s="14" t="s">
        <v>1221</v>
      </c>
      <c r="E80" s="15">
        <v>2.5499999999999998</v>
      </c>
      <c r="F80" s="14" t="s">
        <v>1222</v>
      </c>
      <c r="G80" s="15">
        <v>3.89</v>
      </c>
      <c r="H80" s="14" t="s">
        <v>1223</v>
      </c>
      <c r="I80" s="15">
        <v>4.6500000000000004</v>
      </c>
      <c r="J80" s="15">
        <f t="shared" si="3"/>
        <v>11.09</v>
      </c>
      <c r="K80" s="14" t="s">
        <v>1267</v>
      </c>
      <c r="L80" s="15">
        <v>0.35</v>
      </c>
      <c r="M80" s="15">
        <f t="shared" si="2"/>
        <v>11.440000000000001</v>
      </c>
      <c r="N80" s="14" t="str">
        <f>VLOOKUP(A80,[2]Sheet1!$B$4:$F$352,3,0)</f>
        <v>CHS3L</v>
      </c>
      <c r="O80" s="16">
        <f>VLOOKUP(A80,[2]Sheet1!$B$4:$F$352,4,0)</f>
        <v>1</v>
      </c>
      <c r="P80" s="16"/>
      <c r="Q80" s="16">
        <f>VLOOKUP(A80,[2]Sheet1!$B$4:$F$352,4,0)</f>
        <v>1</v>
      </c>
      <c r="R80" s="17">
        <f>VLOOKUP(A80,[1]Sheet1!$A$2:$F$379,3,0)</f>
        <v>5.8</v>
      </c>
      <c r="S80" s="16">
        <f>VLOOKUP(A80,[1]Sheet1!$A$2:$F$379,4,0)</f>
        <v>12.2</v>
      </c>
      <c r="T80" s="16">
        <f>VLOOKUP(A80,[1]Sheet1!$A$2:$F$379,5,0)</f>
        <v>108</v>
      </c>
      <c r="U80" s="16" t="str">
        <f>VLOOKUP(A80,[1]Sheet1!$A$2:$F$379,6,0)</f>
        <v>105±2</v>
      </c>
      <c r="V80" s="16"/>
      <c r="W80" s="16"/>
      <c r="X80" s="16"/>
      <c r="Y80" s="18" t="str">
        <f>VLOOKUP(A80,[3]Combi!$A$1:$B$304,2,0)</f>
        <v>SOP/PROD/HOSE/SPS/3/1</v>
      </c>
    </row>
    <row r="81" spans="1:26" s="18" customFormat="1" x14ac:dyDescent="0.25">
      <c r="A81" s="13" t="s">
        <v>1033</v>
      </c>
      <c r="B81" s="14" t="str">
        <f>VLOOKUP(A81,[1]Sheet1!$A$2:$F$379,2,0)</f>
        <v>23826-BZ020-H</v>
      </c>
      <c r="C81" s="14" t="s">
        <v>418</v>
      </c>
      <c r="D81" s="14" t="s">
        <v>1224</v>
      </c>
      <c r="E81" s="15">
        <v>3.2</v>
      </c>
      <c r="F81" s="14" t="s">
        <v>1225</v>
      </c>
      <c r="G81" s="15">
        <v>6.06</v>
      </c>
      <c r="H81" s="14" t="s">
        <v>1226</v>
      </c>
      <c r="I81" s="15">
        <v>5.33</v>
      </c>
      <c r="J81" s="15">
        <f t="shared" si="3"/>
        <v>14.59</v>
      </c>
      <c r="K81" s="14" t="s">
        <v>1264</v>
      </c>
      <c r="L81" s="15">
        <v>0.04</v>
      </c>
      <c r="M81" s="15">
        <f t="shared" si="2"/>
        <v>14.629999999999999</v>
      </c>
      <c r="N81" s="14" t="str">
        <f>VLOOKUP(A81,[2]Sheet1!$B$4:$F$352,3,0)</f>
        <v>CHS3L</v>
      </c>
      <c r="O81" s="16">
        <f>VLOOKUP(A81,[2]Sheet1!$B$4:$F$352,4,0)</f>
        <v>1</v>
      </c>
      <c r="P81" s="16"/>
      <c r="Q81" s="16">
        <f>VLOOKUP(A81,[2]Sheet1!$B$4:$F$352,4,0)</f>
        <v>1</v>
      </c>
      <c r="R81" s="17">
        <f>VLOOKUP(A81,[1]Sheet1!$A$2:$F$379,3,0)</f>
        <v>5.8</v>
      </c>
      <c r="S81" s="16">
        <f>VLOOKUP(A81,[1]Sheet1!$A$2:$F$379,4,0)</f>
        <v>12.2</v>
      </c>
      <c r="T81" s="16">
        <f>VLOOKUP(A81,[1]Sheet1!$A$2:$F$379,5,0)</f>
        <v>108</v>
      </c>
      <c r="U81" s="16" t="str">
        <f>VLOOKUP(A81,[1]Sheet1!$A$2:$F$379,6,0)</f>
        <v>105±2</v>
      </c>
      <c r="V81" s="16"/>
      <c r="W81" s="16"/>
      <c r="X81" s="16"/>
      <c r="Y81" s="18" t="str">
        <f>VLOOKUP(A81,[3]Combi!$A$1:$B$304,2,0)</f>
        <v>SOP/PROD/HOSE/SPS/3/1</v>
      </c>
    </row>
    <row r="82" spans="1:26" s="18" customFormat="1" x14ac:dyDescent="0.25">
      <c r="A82" s="13" t="s">
        <v>961</v>
      </c>
      <c r="B82" s="14" t="str">
        <f>VLOOKUP(A82,[1]Sheet1!$A$2:$F$379,2,0)</f>
        <v>23827-BZ140-H</v>
      </c>
      <c r="C82" s="14" t="s">
        <v>246</v>
      </c>
      <c r="D82" s="14" t="s">
        <v>1229</v>
      </c>
      <c r="E82" s="15">
        <v>4.5</v>
      </c>
      <c r="F82" s="14" t="s">
        <v>1251</v>
      </c>
      <c r="G82" s="15">
        <v>1.24</v>
      </c>
      <c r="H82" s="14" t="s">
        <v>1252</v>
      </c>
      <c r="I82" s="15">
        <v>1.44</v>
      </c>
      <c r="J82" s="15">
        <f t="shared" si="3"/>
        <v>7.18</v>
      </c>
      <c r="K82" s="14" t="s">
        <v>1264</v>
      </c>
      <c r="L82" s="15">
        <v>0.21</v>
      </c>
      <c r="M82" s="15">
        <f t="shared" si="2"/>
        <v>7.39</v>
      </c>
      <c r="N82" s="14" t="str">
        <f>VLOOKUP(A82,[2]Sheet1!$B$4:$F$352,3,0)</f>
        <v>CHS3L</v>
      </c>
      <c r="O82" s="16">
        <f>VLOOKUP(A82,[2]Sheet1!$B$4:$F$352,4,0)</f>
        <v>1</v>
      </c>
      <c r="P82" s="16"/>
      <c r="Q82" s="16">
        <f>VLOOKUP(A82,[2]Sheet1!$B$4:$F$352,4,0)</f>
        <v>1</v>
      </c>
      <c r="R82" s="17">
        <f>VLOOKUP(A82,[1]Sheet1!$A$2:$F$379,3,0)</f>
        <v>5.8</v>
      </c>
      <c r="S82" s="16">
        <f>VLOOKUP(A82,[1]Sheet1!$A$2:$F$379,4,0)</f>
        <v>12.2</v>
      </c>
      <c r="T82" s="16">
        <f>VLOOKUP(A82,[1]Sheet1!$A$2:$F$379,5,0)</f>
        <v>155</v>
      </c>
      <c r="U82" s="16" t="str">
        <f>VLOOKUP(A82,[1]Sheet1!$A$2:$F$379,6,0)</f>
        <v>105±2</v>
      </c>
      <c r="V82" s="16"/>
      <c r="W82" s="16"/>
      <c r="X82" s="16"/>
      <c r="Y82" s="18" t="e">
        <f>VLOOKUP(A82,[3]Combi!$A$1:$B$304,2,0)</f>
        <v>#N/A</v>
      </c>
      <c r="Z82" s="22" t="s">
        <v>1291</v>
      </c>
    </row>
    <row r="83" spans="1:26" s="18" customFormat="1" x14ac:dyDescent="0.25">
      <c r="A83" s="13" t="s">
        <v>968</v>
      </c>
      <c r="B83" s="14" t="str">
        <f>VLOOKUP(A83,[1]Sheet1!$A$2:$F$379,2,0)</f>
        <v>23828-BZ010-H</v>
      </c>
      <c r="C83" s="14" t="s">
        <v>262</v>
      </c>
      <c r="D83" s="14" t="s">
        <v>1229</v>
      </c>
      <c r="E83" s="15">
        <v>3.67</v>
      </c>
      <c r="F83" s="14" t="s">
        <v>1230</v>
      </c>
      <c r="G83" s="15">
        <v>1.62</v>
      </c>
      <c r="H83" s="14"/>
      <c r="I83" s="14"/>
      <c r="J83" s="15">
        <f t="shared" si="3"/>
        <v>5.29</v>
      </c>
      <c r="K83" s="14"/>
      <c r="L83" s="14"/>
      <c r="M83" s="15">
        <f t="shared" si="2"/>
        <v>5.29</v>
      </c>
      <c r="N83" s="14" t="str">
        <f>VLOOKUP(A83,[2]Sheet1!$B$4:$F$352,3,0)</f>
        <v>DL1</v>
      </c>
      <c r="O83" s="16">
        <f>VLOOKUP(A83,[2]Sheet1!$B$4:$F$352,4,0)</f>
        <v>7</v>
      </c>
      <c r="P83" s="16"/>
      <c r="Q83" s="16">
        <f>VLOOKUP(A83,[2]Sheet1!$B$4:$F$352,4,0)</f>
        <v>7</v>
      </c>
      <c r="R83" s="17">
        <f>VLOOKUP(A83,[1]Sheet1!$A$2:$F$379,3,0)</f>
        <v>5.4</v>
      </c>
      <c r="S83" s="16">
        <f>VLOOKUP(A83,[1]Sheet1!$A$2:$F$379,4,0)</f>
        <v>10.4</v>
      </c>
      <c r="T83" s="16" t="str">
        <f>VLOOKUP(A83,[1]Sheet1!$A$2:$F$379,5,0)</f>
        <v>90±2</v>
      </c>
      <c r="U83" s="16" t="str">
        <f>VLOOKUP(A83,[1]Sheet1!$A$2:$F$379,6,0)</f>
        <v>74-78</v>
      </c>
      <c r="V83" s="16"/>
      <c r="W83" s="16"/>
      <c r="X83" s="16"/>
      <c r="Y83" s="18" t="str">
        <f>VLOOKUP(A83,[3]Combi!$A$1:$B$304,2,0)</f>
        <v>SOP/PROD/HOSE/SPS/1/4</v>
      </c>
    </row>
    <row r="84" spans="1:26" s="18" customFormat="1" x14ac:dyDescent="0.25">
      <c r="A84" s="13" t="s">
        <v>968</v>
      </c>
      <c r="B84" s="14" t="str">
        <f>VLOOKUP(A84,[1]Sheet1!$A$2:$F$379,2,0)</f>
        <v>23828-BZ010-H</v>
      </c>
      <c r="C84" s="14" t="s">
        <v>262</v>
      </c>
      <c r="D84" s="14" t="s">
        <v>1229</v>
      </c>
      <c r="E84" s="15">
        <v>3.67</v>
      </c>
      <c r="F84" s="14" t="s">
        <v>1230</v>
      </c>
      <c r="G84" s="15">
        <v>1.62</v>
      </c>
      <c r="H84" s="14"/>
      <c r="I84" s="14"/>
      <c r="J84" s="15">
        <f t="shared" si="3"/>
        <v>5.29</v>
      </c>
      <c r="K84" s="14"/>
      <c r="L84" s="14"/>
      <c r="M84" s="15">
        <f t="shared" si="2"/>
        <v>5.29</v>
      </c>
      <c r="N84" s="14" t="str">
        <f>VLOOKUP(A84,[2]Sheet1!$B$4:$F$352,3,0)</f>
        <v>DL1</v>
      </c>
      <c r="O84" s="16">
        <f>VLOOKUP(A84,[2]Sheet1!$B$4:$F$352,4,0)</f>
        <v>7</v>
      </c>
      <c r="P84" s="16"/>
      <c r="Q84" s="16">
        <f>VLOOKUP(A84,[2]Sheet1!$B$4:$F$352,4,0)</f>
        <v>7</v>
      </c>
      <c r="R84" s="17">
        <f>VLOOKUP(A84,[1]Sheet1!$A$2:$F$379,3,0)</f>
        <v>5.4</v>
      </c>
      <c r="S84" s="16">
        <f>VLOOKUP(A84,[1]Sheet1!$A$2:$F$379,4,0)</f>
        <v>10.4</v>
      </c>
      <c r="T84" s="16" t="str">
        <f>VLOOKUP(A84,[1]Sheet1!$A$2:$F$379,5,0)</f>
        <v>90±2</v>
      </c>
      <c r="U84" s="16" t="str">
        <f>VLOOKUP(A84,[1]Sheet1!$A$2:$F$379,6,0)</f>
        <v>74-78</v>
      </c>
      <c r="V84" s="16"/>
      <c r="W84" s="16"/>
      <c r="X84" s="16"/>
      <c r="Y84" s="18" t="str">
        <f>VLOOKUP(A84,[3]Combi!$A$1:$B$304,2,0)</f>
        <v>SOP/PROD/HOSE/SPS/1/4</v>
      </c>
    </row>
    <row r="85" spans="1:26" s="18" customFormat="1" x14ac:dyDescent="0.25">
      <c r="A85" s="13" t="s">
        <v>985</v>
      </c>
      <c r="B85" s="14" t="str">
        <f>VLOOKUP(A85,[1]Sheet1!$A$2:$F$379,2,0)</f>
        <v>12262-BZ130-H</v>
      </c>
      <c r="C85" s="14" t="s">
        <v>307</v>
      </c>
      <c r="D85" s="14" t="s">
        <v>1235</v>
      </c>
      <c r="E85" s="15">
        <v>41.96</v>
      </c>
      <c r="F85" s="14" t="s">
        <v>1230</v>
      </c>
      <c r="G85" s="15">
        <v>8.0399999999999991</v>
      </c>
      <c r="H85" s="14"/>
      <c r="I85" s="14"/>
      <c r="J85" s="15">
        <f t="shared" si="3"/>
        <v>50</v>
      </c>
      <c r="K85" s="14"/>
      <c r="L85" s="14"/>
      <c r="M85" s="15">
        <f t="shared" si="2"/>
        <v>50</v>
      </c>
      <c r="N85" s="14" t="str">
        <f>VLOOKUP(A85,[2]Sheet1!$B$4:$F$352,3,0)</f>
        <v>DL2</v>
      </c>
      <c r="O85" s="16">
        <f>VLOOKUP(A85,[2]Sheet1!$B$4:$F$352,4,0)</f>
        <v>7</v>
      </c>
      <c r="P85" s="16"/>
      <c r="Q85" s="16">
        <f>VLOOKUP(A85,[2]Sheet1!$B$4:$F$352,4,0)</f>
        <v>7</v>
      </c>
      <c r="R85" s="17">
        <f>VLOOKUP(A85,[1]Sheet1!$A$2:$F$379,3,0)</f>
        <v>15</v>
      </c>
      <c r="S85" s="16">
        <f>VLOOKUP(A85,[1]Sheet1!$A$2:$F$379,4,0)</f>
        <v>22</v>
      </c>
      <c r="T85" s="16" t="str">
        <f>VLOOKUP(A85,[1]Sheet1!$A$2:$F$379,5,0)</f>
        <v>263±2</v>
      </c>
      <c r="U85" s="16" t="str">
        <f>VLOOKUP(A85,[1]Sheet1!$A$2:$F$379,6,0)</f>
        <v>222-230</v>
      </c>
      <c r="V85" s="16"/>
      <c r="W85" s="16"/>
      <c r="X85" s="16"/>
      <c r="Y85" s="18" t="e">
        <f>VLOOKUP(A85,[3]Combi!$A$1:$B$304,2,0)</f>
        <v>#N/A</v>
      </c>
      <c r="Z85" s="22" t="s">
        <v>1298</v>
      </c>
    </row>
    <row r="86" spans="1:26" s="18" customFormat="1" x14ac:dyDescent="0.25">
      <c r="A86" s="13" t="s">
        <v>978</v>
      </c>
      <c r="B86" s="14" t="str">
        <f>VLOOKUP(A86,[1]Sheet1!$A$2:$F$379,2,0)</f>
        <v>12262-BZ200-H</v>
      </c>
      <c r="C86" s="14" t="s">
        <v>293</v>
      </c>
      <c r="D86" s="14" t="s">
        <v>1235</v>
      </c>
      <c r="E86" s="15">
        <v>36.909999999999997</v>
      </c>
      <c r="F86" s="14" t="s">
        <v>1230</v>
      </c>
      <c r="G86" s="15">
        <v>7.09</v>
      </c>
      <c r="H86" s="14"/>
      <c r="I86" s="14"/>
      <c r="J86" s="15">
        <f t="shared" si="3"/>
        <v>44</v>
      </c>
      <c r="K86" s="14"/>
      <c r="L86" s="14"/>
      <c r="M86" s="15">
        <f t="shared" si="2"/>
        <v>44</v>
      </c>
      <c r="N86" s="14" t="str">
        <f>VLOOKUP(A86,[2]Sheet1!$B$4:$F$352,3,0)</f>
        <v>DL2</v>
      </c>
      <c r="O86" s="16">
        <f>VLOOKUP(A86,[2]Sheet1!$B$4:$F$352,4,0)</f>
        <v>4</v>
      </c>
      <c r="P86" s="16"/>
      <c r="Q86" s="16">
        <f>VLOOKUP(A86,[2]Sheet1!$B$4:$F$352,4,0)</f>
        <v>4</v>
      </c>
      <c r="R86" s="17">
        <f>VLOOKUP(A86,[1]Sheet1!$A$2:$F$379,3,0)</f>
        <v>15</v>
      </c>
      <c r="S86" s="16">
        <f>VLOOKUP(A86,[1]Sheet1!$A$2:$F$379,4,0)</f>
        <v>22</v>
      </c>
      <c r="T86" s="16" t="str">
        <f>VLOOKUP(A86,[1]Sheet1!$A$2:$F$379,5,0)</f>
        <v>245±2</v>
      </c>
      <c r="U86" s="16" t="str">
        <f>VLOOKUP(A86,[1]Sheet1!$A$2:$F$379,6,0)</f>
        <v>227-231</v>
      </c>
      <c r="V86" s="16"/>
      <c r="W86" s="16"/>
      <c r="X86" s="16"/>
      <c r="Y86" s="18" t="e">
        <f>VLOOKUP(A86,[3]Combi!$A$1:$B$304,2,0)</f>
        <v>#N/A</v>
      </c>
      <c r="Z86" s="22" t="s">
        <v>1298</v>
      </c>
    </row>
    <row r="87" spans="1:26" s="18" customFormat="1" x14ac:dyDescent="0.25">
      <c r="A87" s="13" t="s">
        <v>979</v>
      </c>
      <c r="B87" s="14" t="str">
        <f>VLOOKUP(A87,[1]Sheet1!$A$2:$F$379,2,0)</f>
        <v>77249-BZ030-H</v>
      </c>
      <c r="C87" s="14" t="s">
        <v>295</v>
      </c>
      <c r="D87" s="14" t="s">
        <v>1246</v>
      </c>
      <c r="E87" s="15">
        <v>38.409999999999997</v>
      </c>
      <c r="F87" s="14" t="s">
        <v>1245</v>
      </c>
      <c r="G87" s="15">
        <v>5.32</v>
      </c>
      <c r="H87" s="14"/>
      <c r="I87" s="14"/>
      <c r="J87" s="15">
        <f t="shared" si="3"/>
        <v>43.73</v>
      </c>
      <c r="K87" s="14"/>
      <c r="L87" s="14"/>
      <c r="M87" s="15">
        <f t="shared" si="2"/>
        <v>43.73</v>
      </c>
      <c r="N87" s="14" t="str">
        <f>VLOOKUP(A87,[2]Sheet1!$B$4:$F$352,3,0)</f>
        <v>DL1</v>
      </c>
      <c r="O87" s="16">
        <f>VLOOKUP(A87,[2]Sheet1!$B$4:$F$352,4,0)</f>
        <v>7</v>
      </c>
      <c r="P87" s="16"/>
      <c r="Q87" s="16">
        <f>VLOOKUP(A87,[2]Sheet1!$B$4:$F$352,4,0)</f>
        <v>7</v>
      </c>
      <c r="R87" s="17">
        <f>VLOOKUP(A87,[1]Sheet1!$A$2:$F$379,3,0)</f>
        <v>4.2</v>
      </c>
      <c r="S87" s="16">
        <f>VLOOKUP(A87,[1]Sheet1!$A$2:$F$379,4,0)</f>
        <v>11.2</v>
      </c>
      <c r="T87" s="16" t="str">
        <f>VLOOKUP(A87,[1]Sheet1!$A$2:$F$379,5,0)</f>
        <v>380±2</v>
      </c>
      <c r="U87" s="16" t="str">
        <f>VLOOKUP(A87,[1]Sheet1!$A$2:$F$379,6,0)</f>
        <v>350-354</v>
      </c>
      <c r="V87" s="16"/>
      <c r="W87" s="16"/>
      <c r="X87" s="16"/>
      <c r="Y87" s="18" t="e">
        <f>VLOOKUP(A87,[3]Combi!$A$1:$B$304,2,0)</f>
        <v>#N/A</v>
      </c>
      <c r="Z87" s="22" t="s">
        <v>1301</v>
      </c>
    </row>
    <row r="88" spans="1:26" s="18" customFormat="1" x14ac:dyDescent="0.25">
      <c r="A88" s="13" t="s">
        <v>1052</v>
      </c>
      <c r="B88" s="14" t="str">
        <f>VLOOKUP(A88,[1]Sheet1!$A$2:$F$379,2,0)</f>
        <v>16261-BZ610-J</v>
      </c>
      <c r="C88" s="14" t="s">
        <v>464</v>
      </c>
      <c r="D88" s="14" t="s">
        <v>1237</v>
      </c>
      <c r="E88" s="15">
        <v>119.33</v>
      </c>
      <c r="F88" s="14"/>
      <c r="G88" s="14"/>
      <c r="H88" s="14"/>
      <c r="I88" s="14"/>
      <c r="J88" s="15">
        <f t="shared" si="3"/>
        <v>119.33</v>
      </c>
      <c r="K88" s="14" t="s">
        <v>1265</v>
      </c>
      <c r="L88" s="15">
        <v>4.2</v>
      </c>
      <c r="M88" s="15">
        <f t="shared" si="2"/>
        <v>123.53</v>
      </c>
      <c r="N88" s="14" t="str">
        <f>VLOOKUP(A88,[2]Sheet1!$B$4:$F$352,3,0)</f>
        <v>CHS2L</v>
      </c>
      <c r="O88" s="16">
        <f>VLOOKUP(A88,[2]Sheet1!$B$4:$F$352,4,0)</f>
        <v>5</v>
      </c>
      <c r="P88" s="16"/>
      <c r="Q88" s="16">
        <f>VLOOKUP(A88,[2]Sheet1!$B$4:$F$352,4,0)</f>
        <v>5</v>
      </c>
      <c r="R88" s="17">
        <f>VLOOKUP(A88,[1]Sheet1!$A$2:$F$379,3,0)</f>
        <v>13</v>
      </c>
      <c r="S88" s="16">
        <f>VLOOKUP(A88,[1]Sheet1!$A$2:$F$379,4,0)</f>
        <v>21</v>
      </c>
      <c r="T88" s="16">
        <f>VLOOKUP(A88,[1]Sheet1!$A$2:$F$379,5,0)</f>
        <v>508</v>
      </c>
      <c r="U88" s="16" t="str">
        <f>VLOOKUP(A88,[1]Sheet1!$A$2:$F$379,6,0)</f>
        <v>501±1</v>
      </c>
      <c r="V88" s="16"/>
      <c r="W88" s="16"/>
      <c r="X88" s="16"/>
      <c r="Y88" s="18" t="str">
        <f>VLOOKUP(A88,[3]Combi!$A$1:$B$304,2,0)</f>
        <v>SOP/PROD/HOSE/SPS/2/9</v>
      </c>
    </row>
    <row r="89" spans="1:26" s="18" customFormat="1" x14ac:dyDescent="0.25">
      <c r="A89" s="13" t="s">
        <v>1076</v>
      </c>
      <c r="B89" s="14" t="str">
        <f>VLOOKUP(A89,[1]Sheet1!$A$2:$F$379,2,0)</f>
        <v>16264-BZ310-J</v>
      </c>
      <c r="C89" s="14" t="s">
        <v>516</v>
      </c>
      <c r="D89" s="14" t="s">
        <v>1237</v>
      </c>
      <c r="E89" s="15">
        <v>69.209999999999994</v>
      </c>
      <c r="F89" s="14"/>
      <c r="G89" s="14"/>
      <c r="H89" s="14"/>
      <c r="I89" s="14"/>
      <c r="J89" s="15">
        <f t="shared" si="3"/>
        <v>69.209999999999994</v>
      </c>
      <c r="K89" s="14" t="s">
        <v>1265</v>
      </c>
      <c r="L89" s="15">
        <v>2.44</v>
      </c>
      <c r="M89" s="15">
        <f t="shared" si="2"/>
        <v>71.649999999999991</v>
      </c>
      <c r="N89" s="14" t="str">
        <f>VLOOKUP(A89,[2]Sheet1!$B$4:$F$352,3,0)</f>
        <v>CHS2L</v>
      </c>
      <c r="O89" s="16">
        <f>VLOOKUP(A89,[2]Sheet1!$B$4:$F$352,4,0)</f>
        <v>4</v>
      </c>
      <c r="P89" s="16"/>
      <c r="Q89" s="16">
        <f>VLOOKUP(A89,[2]Sheet1!$B$4:$F$352,4,0)</f>
        <v>4</v>
      </c>
      <c r="R89" s="17">
        <f>VLOOKUP(A89,[1]Sheet1!$A$2:$F$379,3,0)</f>
        <v>13</v>
      </c>
      <c r="S89" s="16">
        <f>VLOOKUP(A89,[1]Sheet1!$A$2:$F$379,4,0)</f>
        <v>21</v>
      </c>
      <c r="T89" s="16">
        <f>VLOOKUP(A89,[1]Sheet1!$A$2:$F$379,5,0)</f>
        <v>298</v>
      </c>
      <c r="U89" s="16" t="str">
        <f>VLOOKUP(A89,[1]Sheet1!$A$2:$F$379,6,0)</f>
        <v>291±1</v>
      </c>
      <c r="V89" s="16"/>
      <c r="W89" s="16"/>
      <c r="X89" s="16"/>
      <c r="Y89" s="18" t="str">
        <f>VLOOKUP(A89,[3]Combi!$A$1:$B$304,2,0)</f>
        <v>SOP/PROD/HOSE/SPS/2/9</v>
      </c>
    </row>
    <row r="90" spans="1:26" s="18" customFormat="1" x14ac:dyDescent="0.25">
      <c r="A90" s="13" t="s">
        <v>1057</v>
      </c>
      <c r="B90" s="14" t="str">
        <f>VLOOKUP(A90,[1]Sheet1!$A$2:$F$379,2,0)</f>
        <v>77269-BZ130-H</v>
      </c>
      <c r="C90" s="14" t="s">
        <v>475</v>
      </c>
      <c r="D90" s="14" t="s">
        <v>1256</v>
      </c>
      <c r="E90" s="15">
        <v>135.09</v>
      </c>
      <c r="F90" s="14"/>
      <c r="G90" s="14"/>
      <c r="H90" s="14"/>
      <c r="I90" s="14"/>
      <c r="J90" s="15">
        <f t="shared" si="3"/>
        <v>135.09</v>
      </c>
      <c r="K90" s="14"/>
      <c r="L90" s="14"/>
      <c r="M90" s="15">
        <f t="shared" si="2"/>
        <v>135.09</v>
      </c>
      <c r="N90" s="14" t="s">
        <v>1288</v>
      </c>
      <c r="O90" s="16" t="e">
        <f>VLOOKUP(A90,[2]Sheet1!$B$4:$F$352,4,0)</f>
        <v>#N/A</v>
      </c>
      <c r="P90" s="16"/>
      <c r="Q90" s="16" t="e">
        <f>VLOOKUP(A90,[2]Sheet1!$B$4:$F$352,4,0)</f>
        <v>#N/A</v>
      </c>
      <c r="R90" s="17">
        <f>VLOOKUP(A90,[1]Sheet1!$A$2:$F$379,3,0)</f>
        <v>13.5</v>
      </c>
      <c r="S90" s="16">
        <f>VLOOKUP(A90,[1]Sheet1!$A$2:$F$379,4,0)</f>
        <v>21.5</v>
      </c>
      <c r="T90" s="16" t="str">
        <f>VLOOKUP(A90,[1]Sheet1!$A$2:$F$379,5,0)</f>
        <v>520±2</v>
      </c>
      <c r="U90" s="16">
        <f>VLOOKUP(A90,[1]Sheet1!$A$2:$F$379,6,0)</f>
        <v>0</v>
      </c>
      <c r="V90" s="16"/>
      <c r="W90" s="16"/>
      <c r="X90" s="16"/>
      <c r="Y90" s="18" t="e">
        <f>VLOOKUP(A90,[3]Combi!$A$1:$B$304,2,0)</f>
        <v>#N/A</v>
      </c>
      <c r="Z90" s="22" t="s">
        <v>1299</v>
      </c>
    </row>
    <row r="91" spans="1:26" s="18" customFormat="1" x14ac:dyDescent="0.25">
      <c r="A91" s="13" t="s">
        <v>1056</v>
      </c>
      <c r="B91" s="14" t="str">
        <f>VLOOKUP(A91,[1]Sheet1!$A$2:$F$379,2,0)</f>
        <v>77259-BZ130-H</v>
      </c>
      <c r="C91" s="14" t="s">
        <v>473</v>
      </c>
      <c r="D91" s="14" t="s">
        <v>1246</v>
      </c>
      <c r="E91" s="15">
        <v>24.62</v>
      </c>
      <c r="F91" s="14" t="s">
        <v>1245</v>
      </c>
      <c r="G91" s="15">
        <v>3.41</v>
      </c>
      <c r="H91" s="14"/>
      <c r="I91" s="14"/>
      <c r="J91" s="15">
        <f t="shared" si="3"/>
        <v>28.03</v>
      </c>
      <c r="K91" s="14"/>
      <c r="L91" s="14"/>
      <c r="M91" s="15">
        <f t="shared" si="2"/>
        <v>28.03</v>
      </c>
      <c r="N91" s="14" t="str">
        <f>VLOOKUP(A91,[2]Sheet1!$B$4:$F$352,3,0)</f>
        <v>DL1</v>
      </c>
      <c r="O91" s="16">
        <f>VLOOKUP(A91,[2]Sheet1!$B$4:$F$352,4,0)</f>
        <v>7</v>
      </c>
      <c r="P91" s="16"/>
      <c r="Q91" s="16">
        <f>VLOOKUP(A91,[2]Sheet1!$B$4:$F$352,4,0)</f>
        <v>7</v>
      </c>
      <c r="R91" s="17">
        <f>VLOOKUP(A91,[1]Sheet1!$A$2:$F$379,3,0)</f>
        <v>4.2</v>
      </c>
      <c r="S91" s="16">
        <f>VLOOKUP(A91,[1]Sheet1!$A$2:$F$379,4,0)</f>
        <v>11.2</v>
      </c>
      <c r="T91" s="16" t="str">
        <f>VLOOKUP(A91,[1]Sheet1!$A$2:$F$379,5,0)</f>
        <v>220±2</v>
      </c>
      <c r="U91" s="16" t="str">
        <f>VLOOKUP(A91,[1]Sheet1!$A$2:$F$379,6,0)</f>
        <v>198-202</v>
      </c>
      <c r="V91" s="16"/>
      <c r="W91" s="16"/>
      <c r="X91" s="16"/>
      <c r="Y91" s="18" t="e">
        <f>VLOOKUP(A91,[3]Combi!$A$1:$B$304,2,0)</f>
        <v>#N/A</v>
      </c>
      <c r="Z91" s="22" t="s">
        <v>1301</v>
      </c>
    </row>
    <row r="92" spans="1:26" s="18" customFormat="1" x14ac:dyDescent="0.25">
      <c r="A92" s="13" t="s">
        <v>1055</v>
      </c>
      <c r="B92" s="14" t="str">
        <f>VLOOKUP(A92,[1]Sheet1!$A$2:$F$379,2,0)</f>
        <v>77259-BZ120-H</v>
      </c>
      <c r="C92" s="14" t="s">
        <v>471</v>
      </c>
      <c r="D92" s="14" t="s">
        <v>1246</v>
      </c>
      <c r="E92" s="15">
        <v>10.17</v>
      </c>
      <c r="F92" s="14" t="s">
        <v>1245</v>
      </c>
      <c r="G92" s="15">
        <v>1.85</v>
      </c>
      <c r="H92" s="14"/>
      <c r="I92" s="14"/>
      <c r="J92" s="15">
        <f t="shared" si="3"/>
        <v>12.02</v>
      </c>
      <c r="K92" s="14"/>
      <c r="L92" s="14"/>
      <c r="M92" s="15">
        <f t="shared" si="2"/>
        <v>12.02</v>
      </c>
      <c r="N92" s="14" t="str">
        <f>VLOOKUP(A92,[2]Sheet1!$B$4:$F$352,3,0)</f>
        <v>DL1</v>
      </c>
      <c r="O92" s="16">
        <f>VLOOKUP(A92,[2]Sheet1!$B$4:$F$352,4,0)</f>
        <v>5</v>
      </c>
      <c r="P92" s="16"/>
      <c r="Q92" s="16">
        <f>VLOOKUP(A92,[2]Sheet1!$B$4:$F$352,4,0)</f>
        <v>5</v>
      </c>
      <c r="R92" s="17">
        <f>VLOOKUP(A92,[1]Sheet1!$A$2:$F$379,3,0)</f>
        <v>4.3</v>
      </c>
      <c r="S92" s="16">
        <f>VLOOKUP(A92,[1]Sheet1!$A$2:$F$379,4,0)</f>
        <v>8.3000000000000007</v>
      </c>
      <c r="T92" s="16" t="str">
        <f>VLOOKUP(A92,[1]Sheet1!$A$2:$F$379,5,0)</f>
        <v>280±2</v>
      </c>
      <c r="U92" s="16" t="str">
        <f>VLOOKUP(A92,[1]Sheet1!$A$2:$F$379,6,0)</f>
        <v>230-235</v>
      </c>
      <c r="V92" s="16"/>
      <c r="W92" s="16"/>
      <c r="X92" s="16"/>
      <c r="Y92" s="18" t="e">
        <f>VLOOKUP(A92,[3]Combi!$A$1:$B$304,2,0)</f>
        <v>#N/A</v>
      </c>
      <c r="Z92" s="22" t="s">
        <v>1302</v>
      </c>
    </row>
    <row r="93" spans="1:26" s="18" customFormat="1" x14ac:dyDescent="0.25">
      <c r="A93" s="13" t="s">
        <v>1066</v>
      </c>
      <c r="B93" s="14" t="str">
        <f>VLOOKUP(A93,[1]Sheet1!$A$2:$F$379,2,0)</f>
        <v>87245-BZ290-K</v>
      </c>
      <c r="C93" s="14" t="s">
        <v>495</v>
      </c>
      <c r="D93" s="14" t="s">
        <v>1237</v>
      </c>
      <c r="E93" s="15">
        <v>112.17</v>
      </c>
      <c r="F93" s="14"/>
      <c r="G93" s="14"/>
      <c r="H93" s="14"/>
      <c r="I93" s="14"/>
      <c r="J93" s="15">
        <f t="shared" si="3"/>
        <v>112.17</v>
      </c>
      <c r="K93" s="14" t="s">
        <v>1265</v>
      </c>
      <c r="L93" s="15">
        <v>3.95</v>
      </c>
      <c r="M93" s="15">
        <f t="shared" si="2"/>
        <v>116.12</v>
      </c>
      <c r="N93" s="14" t="str">
        <f>VLOOKUP(A93,[2]Sheet1!$B$4:$F$352,3,0)</f>
        <v>CHS2L</v>
      </c>
      <c r="O93" s="16">
        <f>VLOOKUP(A93,[2]Sheet1!$B$4:$F$352,4,0)</f>
        <v>0</v>
      </c>
      <c r="P93" s="16"/>
      <c r="Q93" s="16">
        <f>VLOOKUP(A93,[2]Sheet1!$B$4:$F$352,4,0)</f>
        <v>0</v>
      </c>
      <c r="R93" s="17">
        <f>VLOOKUP(A93,[1]Sheet1!$A$2:$F$379,3,0)</f>
        <v>13</v>
      </c>
      <c r="S93" s="16">
        <f>VLOOKUP(A93,[1]Sheet1!$A$2:$F$379,4,0)</f>
        <v>21</v>
      </c>
      <c r="T93" s="16">
        <f>VLOOKUP(A93,[1]Sheet1!$A$2:$F$379,5,0)</f>
        <v>476</v>
      </c>
      <c r="U93" s="16" t="str">
        <f>VLOOKUP(A93,[1]Sheet1!$A$2:$F$379,6,0)</f>
        <v>472±1</v>
      </c>
      <c r="V93" s="16"/>
      <c r="W93" s="16"/>
      <c r="X93" s="16"/>
      <c r="Y93" s="18" t="str">
        <f>VLOOKUP(A93,[3]Combi!$A$1:$B$304,2,0)</f>
        <v>SOP/PROD/HOSE/SPS/2/9</v>
      </c>
    </row>
    <row r="94" spans="1:26" s="18" customFormat="1" x14ac:dyDescent="0.25">
      <c r="A94" s="13" t="s">
        <v>1067</v>
      </c>
      <c r="B94" s="14" t="str">
        <f>VLOOKUP(A94,[1]Sheet1!$A$2:$F$379,2,0)</f>
        <v>87245-BZ300-J</v>
      </c>
      <c r="C94" s="14" t="s">
        <v>498</v>
      </c>
      <c r="D94" s="14" t="s">
        <v>1237</v>
      </c>
      <c r="E94" s="15">
        <v>59.89</v>
      </c>
      <c r="F94" s="14"/>
      <c r="G94" s="14"/>
      <c r="H94" s="14"/>
      <c r="I94" s="14"/>
      <c r="J94" s="15">
        <f t="shared" si="3"/>
        <v>59.89</v>
      </c>
      <c r="K94" s="14" t="s">
        <v>1265</v>
      </c>
      <c r="L94" s="15">
        <v>1.96</v>
      </c>
      <c r="M94" s="15">
        <f t="shared" si="2"/>
        <v>61.85</v>
      </c>
      <c r="N94" s="14" t="str">
        <f>VLOOKUP(A94,[2]Sheet1!$B$4:$F$352,3,0)</f>
        <v>CHS2L</v>
      </c>
      <c r="O94" s="16">
        <f>VLOOKUP(A94,[2]Sheet1!$B$4:$F$352,4,0)</f>
        <v>7</v>
      </c>
      <c r="P94" s="16"/>
      <c r="Q94" s="16">
        <f>VLOOKUP(A94,[2]Sheet1!$B$4:$F$352,4,0)</f>
        <v>7</v>
      </c>
      <c r="R94" s="17">
        <f>VLOOKUP(A94,[1]Sheet1!$A$2:$F$379,3,0)</f>
        <v>16</v>
      </c>
      <c r="S94" s="16">
        <f>VLOOKUP(A94,[1]Sheet1!$A$2:$F$379,4,0)</f>
        <v>24</v>
      </c>
      <c r="T94" s="16">
        <f>VLOOKUP(A94,[1]Sheet1!$A$2:$F$379,5,0)</f>
        <v>193</v>
      </c>
      <c r="U94" s="16" t="str">
        <f>VLOOKUP(A94,[1]Sheet1!$A$2:$F$379,6,0)</f>
        <v>186±1</v>
      </c>
      <c r="V94" s="16"/>
      <c r="W94" s="16"/>
      <c r="X94" s="16"/>
      <c r="Y94" s="18" t="str">
        <f>VLOOKUP(A94,[3]Combi!$A$1:$B$304,2,0)</f>
        <v>SOP/PROD/HOSE/SPS/2/7</v>
      </c>
    </row>
    <row r="95" spans="1:26" s="18" customFormat="1" x14ac:dyDescent="0.25">
      <c r="A95" s="13" t="s">
        <v>1077</v>
      </c>
      <c r="B95" s="14" t="str">
        <f>VLOOKUP(A95,[1]Sheet1!$A$2:$F$379,2,0)</f>
        <v>87245-BZ310-H</v>
      </c>
      <c r="C95" s="14" t="s">
        <v>518</v>
      </c>
      <c r="D95" s="14" t="s">
        <v>1237</v>
      </c>
      <c r="E95" s="15">
        <v>105.49</v>
      </c>
      <c r="F95" s="14"/>
      <c r="G95" s="14"/>
      <c r="H95" s="14"/>
      <c r="I95" s="14"/>
      <c r="J95" s="15">
        <f t="shared" si="3"/>
        <v>105.49</v>
      </c>
      <c r="K95" s="14" t="s">
        <v>1265</v>
      </c>
      <c r="L95" s="15">
        <v>3.72</v>
      </c>
      <c r="M95" s="15">
        <f t="shared" si="2"/>
        <v>109.21</v>
      </c>
      <c r="N95" s="14" t="str">
        <f>VLOOKUP(A95,[2]Sheet1!$B$4:$F$352,3,0)</f>
        <v>CHS2L</v>
      </c>
      <c r="O95" s="16">
        <f>VLOOKUP(A95,[2]Sheet1!$B$4:$F$352,4,0)</f>
        <v>4</v>
      </c>
      <c r="P95" s="16"/>
      <c r="Q95" s="16">
        <f>VLOOKUP(A95,[2]Sheet1!$B$4:$F$352,4,0)</f>
        <v>4</v>
      </c>
      <c r="R95" s="17">
        <f>VLOOKUP(A95,[1]Sheet1!$A$2:$F$379,3,0)</f>
        <v>13</v>
      </c>
      <c r="S95" s="16">
        <f>VLOOKUP(A95,[1]Sheet1!$A$2:$F$379,4,0)</f>
        <v>21</v>
      </c>
      <c r="T95" s="16">
        <f>VLOOKUP(A95,[1]Sheet1!$A$2:$F$379,5,0)</f>
        <v>448</v>
      </c>
      <c r="U95" s="16" t="str">
        <f>VLOOKUP(A95,[1]Sheet1!$A$2:$F$379,6,0)</f>
        <v>441±1</v>
      </c>
      <c r="V95" s="16"/>
      <c r="W95" s="16"/>
      <c r="X95" s="16"/>
      <c r="Y95" s="18" t="str">
        <f>VLOOKUP(A95,[3]Combi!$A$1:$B$304,2,0)</f>
        <v>SOP/PROD/HOSE/SPS/2/9</v>
      </c>
    </row>
    <row r="96" spans="1:26" s="18" customFormat="1" x14ac:dyDescent="0.25">
      <c r="A96" s="13" t="s">
        <v>1060</v>
      </c>
      <c r="B96" s="14" t="str">
        <f>VLOOKUP(A96,[1]Sheet1!$A$2:$F$379,2,0)</f>
        <v>87246-BZ250-H</v>
      </c>
      <c r="C96" s="14" t="s">
        <v>482</v>
      </c>
      <c r="D96" s="14" t="s">
        <v>1237</v>
      </c>
      <c r="E96" s="15">
        <v>93.07</v>
      </c>
      <c r="F96" s="14"/>
      <c r="G96" s="14"/>
      <c r="H96" s="14"/>
      <c r="I96" s="14"/>
      <c r="J96" s="15">
        <f t="shared" si="3"/>
        <v>93.07</v>
      </c>
      <c r="K96" s="14" t="s">
        <v>1265</v>
      </c>
      <c r="L96" s="15">
        <v>3.28</v>
      </c>
      <c r="M96" s="15">
        <f t="shared" si="2"/>
        <v>96.35</v>
      </c>
      <c r="N96" s="14" t="str">
        <f>VLOOKUP(A96,[2]Sheet1!$B$4:$F$352,3,0)</f>
        <v>CHS2L</v>
      </c>
      <c r="O96" s="16">
        <f>VLOOKUP(A96,[2]Sheet1!$B$4:$F$352,4,0)</f>
        <v>4</v>
      </c>
      <c r="P96" s="16"/>
      <c r="Q96" s="16">
        <f>VLOOKUP(A96,[2]Sheet1!$B$4:$F$352,4,0)</f>
        <v>4</v>
      </c>
      <c r="R96" s="17">
        <f>VLOOKUP(A96,[1]Sheet1!$A$2:$F$379,3,0)</f>
        <v>13</v>
      </c>
      <c r="S96" s="16">
        <f>VLOOKUP(A96,[1]Sheet1!$A$2:$F$379,4,0)</f>
        <v>21</v>
      </c>
      <c r="T96" s="16">
        <f>VLOOKUP(A96,[1]Sheet1!$A$2:$F$379,5,0)</f>
        <v>396</v>
      </c>
      <c r="U96" s="16" t="str">
        <f>VLOOKUP(A96,[1]Sheet1!$A$2:$F$379,6,0)</f>
        <v>389±1</v>
      </c>
      <c r="V96" s="16"/>
      <c r="W96" s="16"/>
      <c r="X96" s="16"/>
      <c r="Y96" s="18" t="str">
        <f>VLOOKUP(A96,[3]Combi!$A$1:$B$304,2,0)</f>
        <v>SOP/PROD/HOSE/SPS/2/9</v>
      </c>
    </row>
    <row r="97" spans="1:26" s="18" customFormat="1" x14ac:dyDescent="0.25">
      <c r="A97" s="13" t="s">
        <v>1075</v>
      </c>
      <c r="B97" s="14" t="str">
        <f>VLOOKUP(A97,[1]Sheet1!$A$2:$F$379,2,0)</f>
        <v>87245-BZ330-K</v>
      </c>
      <c r="C97" s="14" t="s">
        <v>514</v>
      </c>
      <c r="D97" s="14" t="s">
        <v>1237</v>
      </c>
      <c r="E97" s="15">
        <v>144.4</v>
      </c>
      <c r="F97" s="14"/>
      <c r="G97" s="14"/>
      <c r="H97" s="14"/>
      <c r="I97" s="14"/>
      <c r="J97" s="15">
        <f t="shared" si="3"/>
        <v>144.4</v>
      </c>
      <c r="K97" s="14" t="s">
        <v>1265</v>
      </c>
      <c r="L97" s="15">
        <v>5.08</v>
      </c>
      <c r="M97" s="15">
        <f t="shared" si="2"/>
        <v>149.48000000000002</v>
      </c>
      <c r="N97" s="14" t="str">
        <f>VLOOKUP(A97,[2]Sheet1!$B$4:$F$352,3,0)</f>
        <v>CHS2L</v>
      </c>
      <c r="O97" s="16">
        <f>VLOOKUP(A97,[2]Sheet1!$B$4:$F$352,4,0)</f>
        <v>0</v>
      </c>
      <c r="P97" s="16"/>
      <c r="Q97" s="16">
        <f>VLOOKUP(A97,[2]Sheet1!$B$4:$F$352,4,0)</f>
        <v>0</v>
      </c>
      <c r="R97" s="17">
        <f>VLOOKUP(A97,[1]Sheet1!$A$2:$F$379,3,0)</f>
        <v>13</v>
      </c>
      <c r="S97" s="16">
        <f>VLOOKUP(A97,[1]Sheet1!$A$2:$F$379,4,0)</f>
        <v>21</v>
      </c>
      <c r="T97" s="16">
        <f>VLOOKUP(A97,[1]Sheet1!$A$2:$F$379,5,0)</f>
        <v>611</v>
      </c>
      <c r="U97" s="16" t="str">
        <f>VLOOKUP(A97,[1]Sheet1!$A$2:$F$379,6,0)</f>
        <v>604±1</v>
      </c>
      <c r="V97" s="16"/>
      <c r="W97" s="16"/>
      <c r="X97" s="16"/>
      <c r="Y97" s="18" t="str">
        <f>VLOOKUP(A97,[3]Combi!$A$1:$B$304,2,0)</f>
        <v>SOP/PROD/HOSE/SPS/2/9</v>
      </c>
    </row>
    <row r="98" spans="1:26" s="18" customFormat="1" x14ac:dyDescent="0.25">
      <c r="A98" s="13" t="s">
        <v>1062</v>
      </c>
      <c r="B98" s="14" t="str">
        <f>VLOOKUP(A98,[1]Sheet1!$A$2:$F$379,2,0)</f>
        <v>87245-BZ340-H</v>
      </c>
      <c r="C98" s="14" t="s">
        <v>486</v>
      </c>
      <c r="D98" s="14" t="s">
        <v>1237</v>
      </c>
      <c r="E98" s="15">
        <v>152.74</v>
      </c>
      <c r="F98" s="14"/>
      <c r="G98" s="14"/>
      <c r="H98" s="14"/>
      <c r="I98" s="14"/>
      <c r="J98" s="15">
        <f t="shared" si="3"/>
        <v>152.74</v>
      </c>
      <c r="K98" s="14" t="s">
        <v>1265</v>
      </c>
      <c r="L98" s="15">
        <v>5.38</v>
      </c>
      <c r="M98" s="15">
        <f t="shared" si="2"/>
        <v>158.12</v>
      </c>
      <c r="N98" s="14" t="str">
        <f>VLOOKUP(A98,[2]Sheet1!$B$4:$F$352,3,0)</f>
        <v>CHS2L</v>
      </c>
      <c r="O98" s="16">
        <f>VLOOKUP(A98,[2]Sheet1!$B$4:$F$352,4,0)</f>
        <v>0</v>
      </c>
      <c r="P98" s="16"/>
      <c r="Q98" s="16">
        <f>VLOOKUP(A98,[2]Sheet1!$B$4:$F$352,4,0)</f>
        <v>0</v>
      </c>
      <c r="R98" s="17">
        <f>VLOOKUP(A98,[1]Sheet1!$A$2:$F$379,3,0)</f>
        <v>13</v>
      </c>
      <c r="S98" s="16">
        <f>VLOOKUP(A98,[1]Sheet1!$A$2:$F$379,4,0)</f>
        <v>21</v>
      </c>
      <c r="T98" s="16">
        <f>VLOOKUP(A98,[1]Sheet1!$A$2:$F$379,5,0)</f>
        <v>646</v>
      </c>
      <c r="U98" s="16" t="str">
        <f>VLOOKUP(A98,[1]Sheet1!$A$2:$F$379,6,0)</f>
        <v>639±1</v>
      </c>
      <c r="V98" s="16"/>
      <c r="W98" s="16"/>
      <c r="X98" s="16"/>
      <c r="Y98" s="18" t="str">
        <f>VLOOKUP(A98,[3]Combi!$A$1:$B$304,2,0)</f>
        <v>SOP/PROD/HOSE/SPS/2/9</v>
      </c>
    </row>
    <row r="99" spans="1:26" s="18" customFormat="1" x14ac:dyDescent="0.25">
      <c r="A99" s="13" t="s">
        <v>1074</v>
      </c>
      <c r="B99" s="14" t="str">
        <f>VLOOKUP(A99,[1]Sheet1!$A$2:$F$379,2,0)</f>
        <v>87245-BZ350-H</v>
      </c>
      <c r="C99" s="14" t="s">
        <v>512</v>
      </c>
      <c r="D99" s="14" t="s">
        <v>1237</v>
      </c>
      <c r="E99" s="15">
        <v>110.24</v>
      </c>
      <c r="F99" s="14"/>
      <c r="G99" s="14"/>
      <c r="H99" s="14"/>
      <c r="I99" s="14"/>
      <c r="J99" s="15">
        <f t="shared" si="3"/>
        <v>110.24</v>
      </c>
      <c r="K99" s="14" t="s">
        <v>1265</v>
      </c>
      <c r="L99" s="15">
        <v>3.88</v>
      </c>
      <c r="M99" s="15">
        <f t="shared" si="2"/>
        <v>114.11999999999999</v>
      </c>
      <c r="N99" s="14" t="str">
        <f>VLOOKUP(A99,[2]Sheet1!$B$4:$F$352,3,0)</f>
        <v>CHS2L</v>
      </c>
      <c r="O99" s="16">
        <f>VLOOKUP(A99,[2]Sheet1!$B$4:$F$352,4,0)</f>
        <v>4</v>
      </c>
      <c r="P99" s="16"/>
      <c r="Q99" s="16">
        <f>VLOOKUP(A99,[2]Sheet1!$B$4:$F$352,4,0)</f>
        <v>4</v>
      </c>
      <c r="R99" s="17">
        <f>VLOOKUP(A99,[1]Sheet1!$A$2:$F$379,3,0)</f>
        <v>13</v>
      </c>
      <c r="S99" s="16">
        <f>VLOOKUP(A99,[1]Sheet1!$A$2:$F$379,4,0)</f>
        <v>21</v>
      </c>
      <c r="T99" s="16">
        <f>VLOOKUP(A99,[1]Sheet1!$A$2:$F$379,5,0)</f>
        <v>503</v>
      </c>
      <c r="U99" s="16" t="str">
        <f>VLOOKUP(A99,[1]Sheet1!$A$2:$F$379,6,0)</f>
        <v>496±1</v>
      </c>
      <c r="V99" s="16"/>
      <c r="W99" s="16"/>
      <c r="X99" s="16"/>
      <c r="Y99" s="18" t="str">
        <f>VLOOKUP(A99,[3]Combi!$A$1:$B$304,2,0)</f>
        <v>SOP/PROD/HOSE/SPS/2/9</v>
      </c>
    </row>
    <row r="100" spans="1:26" s="18" customFormat="1" x14ac:dyDescent="0.25">
      <c r="A100" s="13" t="s">
        <v>1050</v>
      </c>
      <c r="B100" s="14" t="str">
        <f>VLOOKUP(A100,[1]Sheet1!$A$2:$F$379,2,0)</f>
        <v>87246-BZ290-H</v>
      </c>
      <c r="C100" s="14" t="s">
        <v>460</v>
      </c>
      <c r="D100" s="14" t="s">
        <v>1237</v>
      </c>
      <c r="E100" s="15">
        <v>105.01</v>
      </c>
      <c r="F100" s="14"/>
      <c r="G100" s="14"/>
      <c r="H100" s="14"/>
      <c r="I100" s="14"/>
      <c r="J100" s="15">
        <f t="shared" si="3"/>
        <v>105.01</v>
      </c>
      <c r="K100" s="14" t="s">
        <v>1265</v>
      </c>
      <c r="L100" s="15">
        <v>3.7</v>
      </c>
      <c r="M100" s="15">
        <f t="shared" si="2"/>
        <v>108.71000000000001</v>
      </c>
      <c r="N100" s="14" t="str">
        <f>VLOOKUP(A100,[2]Sheet1!$B$4:$F$352,3,0)</f>
        <v>CHS2L</v>
      </c>
      <c r="O100" s="16">
        <f>VLOOKUP(A100,[2]Sheet1!$B$4:$F$352,4,0)</f>
        <v>4</v>
      </c>
      <c r="P100" s="16"/>
      <c r="Q100" s="16">
        <f>VLOOKUP(A100,[2]Sheet1!$B$4:$F$352,4,0)</f>
        <v>4</v>
      </c>
      <c r="R100" s="17">
        <f>VLOOKUP(A100,[1]Sheet1!$A$2:$F$379,3,0)</f>
        <v>13</v>
      </c>
      <c r="S100" s="16">
        <f>VLOOKUP(A100,[1]Sheet1!$A$2:$F$379,4,0)</f>
        <v>21</v>
      </c>
      <c r="T100" s="16">
        <f>VLOOKUP(A100,[1]Sheet1!$A$2:$F$379,5,0)</f>
        <v>456</v>
      </c>
      <c r="U100" s="16" t="str">
        <f>VLOOKUP(A100,[1]Sheet1!$A$2:$F$379,6,0)</f>
        <v>448±1</v>
      </c>
      <c r="V100" s="16"/>
      <c r="W100" s="16"/>
      <c r="X100" s="16"/>
      <c r="Y100" s="18" t="str">
        <f>VLOOKUP(A100,[3]Combi!$A$1:$B$304,2,0)</f>
        <v>SOP/PROD/HOSE/SPS/2/9</v>
      </c>
    </row>
    <row r="101" spans="1:26" s="18" customFormat="1" x14ac:dyDescent="0.25">
      <c r="A101" s="13" t="s">
        <v>1061</v>
      </c>
      <c r="B101" s="14" t="str">
        <f>VLOOKUP(A101,[1]Sheet1!$A$2:$F$379,2,0)</f>
        <v>87246-BZ240-H</v>
      </c>
      <c r="C101" s="14" t="s">
        <v>484</v>
      </c>
      <c r="D101" s="14" t="s">
        <v>1237</v>
      </c>
      <c r="E101" s="15">
        <v>93.8</v>
      </c>
      <c r="F101" s="14"/>
      <c r="G101" s="14"/>
      <c r="H101" s="14"/>
      <c r="I101" s="14"/>
      <c r="J101" s="15">
        <f t="shared" si="3"/>
        <v>93.8</v>
      </c>
      <c r="K101" s="14" t="s">
        <v>1265</v>
      </c>
      <c r="L101" s="15">
        <v>3.3</v>
      </c>
      <c r="M101" s="15">
        <f t="shared" si="2"/>
        <v>97.1</v>
      </c>
      <c r="N101" s="14" t="str">
        <f>VLOOKUP(A101,[2]Sheet1!$B$4:$F$352,3,0)</f>
        <v>CHS2L</v>
      </c>
      <c r="O101" s="16">
        <f>VLOOKUP(A101,[2]Sheet1!$B$4:$F$352,4,0)</f>
        <v>5</v>
      </c>
      <c r="P101" s="16"/>
      <c r="Q101" s="16">
        <f>VLOOKUP(A101,[2]Sheet1!$B$4:$F$352,4,0)</f>
        <v>5</v>
      </c>
      <c r="R101" s="17">
        <f>VLOOKUP(A101,[1]Sheet1!$A$2:$F$379,3,0)</f>
        <v>13</v>
      </c>
      <c r="S101" s="16">
        <f>VLOOKUP(A101,[1]Sheet1!$A$2:$F$379,4,0)</f>
        <v>21</v>
      </c>
      <c r="T101" s="16">
        <f>VLOOKUP(A101,[1]Sheet1!$A$2:$F$379,5,0)</f>
        <v>399</v>
      </c>
      <c r="U101" s="16" t="str">
        <f>VLOOKUP(A101,[1]Sheet1!$A$2:$F$379,6,0)</f>
        <v>392±1</v>
      </c>
      <c r="V101" s="16"/>
      <c r="W101" s="16"/>
      <c r="X101" s="16"/>
      <c r="Y101" s="18" t="str">
        <f>VLOOKUP(A101,[3]Combi!$A$1:$B$304,2,0)</f>
        <v>SOP/PROD/HOSE/SPS/2/9</v>
      </c>
    </row>
    <row r="102" spans="1:26" s="18" customFormat="1" x14ac:dyDescent="0.25">
      <c r="A102" s="13" t="s">
        <v>1058</v>
      </c>
      <c r="B102" s="14" t="str">
        <f>VLOOKUP(A102,[1]Sheet1!$A$2:$F$379,2,0)</f>
        <v>87246-BZ280-H</v>
      </c>
      <c r="C102" s="14" t="s">
        <v>478</v>
      </c>
      <c r="D102" s="14" t="s">
        <v>1237</v>
      </c>
      <c r="E102" s="15">
        <v>117.43</v>
      </c>
      <c r="F102" s="14"/>
      <c r="G102" s="14"/>
      <c r="H102" s="14"/>
      <c r="I102" s="14"/>
      <c r="J102" s="15">
        <f t="shared" si="3"/>
        <v>117.43</v>
      </c>
      <c r="K102" s="14" t="s">
        <v>1265</v>
      </c>
      <c r="L102" s="15">
        <v>4.1399999999999997</v>
      </c>
      <c r="M102" s="15">
        <f t="shared" si="2"/>
        <v>121.57000000000001</v>
      </c>
      <c r="N102" s="14" t="str">
        <f>VLOOKUP(A102,[2]Sheet1!$B$4:$F$352,3,0)</f>
        <v>CHS2L</v>
      </c>
      <c r="O102" s="16">
        <f>VLOOKUP(A102,[2]Sheet1!$B$4:$F$352,4,0)</f>
        <v>7</v>
      </c>
      <c r="P102" s="16"/>
      <c r="Q102" s="16">
        <f>VLOOKUP(A102,[2]Sheet1!$B$4:$F$352,4,0)</f>
        <v>7</v>
      </c>
      <c r="R102" s="17">
        <f>VLOOKUP(A102,[1]Sheet1!$A$2:$F$379,3,0)</f>
        <v>13</v>
      </c>
      <c r="S102" s="16">
        <f>VLOOKUP(A102,[1]Sheet1!$A$2:$F$379,4,0)</f>
        <v>21</v>
      </c>
      <c r="T102" s="16">
        <f>VLOOKUP(A102,[1]Sheet1!$A$2:$F$379,5,0)</f>
        <v>498</v>
      </c>
      <c r="U102" s="16" t="str">
        <f>VLOOKUP(A102,[1]Sheet1!$A$2:$F$379,6,0)</f>
        <v>491±1</v>
      </c>
      <c r="V102" s="16"/>
      <c r="W102" s="16"/>
      <c r="X102" s="16"/>
      <c r="Y102" s="18" t="str">
        <f>VLOOKUP(A102,[3]Combi!$A$1:$B$304,2,0)</f>
        <v>SOP/PROD/HOSE/SPS/2/9</v>
      </c>
    </row>
    <row r="103" spans="1:26" s="18" customFormat="1" x14ac:dyDescent="0.25">
      <c r="A103" s="13" t="s">
        <v>1071</v>
      </c>
      <c r="B103" s="14" t="str">
        <f>VLOOKUP(A103,[1]Sheet1!$A$2:$F$379,2,0)</f>
        <v>87245-BZ330-K</v>
      </c>
      <c r="C103" s="14" t="s">
        <v>506</v>
      </c>
      <c r="D103" s="14" t="s">
        <v>1237</v>
      </c>
      <c r="E103" s="15">
        <v>137.52000000000001</v>
      </c>
      <c r="F103" s="14"/>
      <c r="G103" s="14"/>
      <c r="H103" s="14"/>
      <c r="I103" s="14"/>
      <c r="J103" s="15">
        <f t="shared" si="3"/>
        <v>137.52000000000001</v>
      </c>
      <c r="K103" s="14" t="s">
        <v>1265</v>
      </c>
      <c r="L103" s="15">
        <v>4.84</v>
      </c>
      <c r="M103" s="15">
        <f t="shared" si="2"/>
        <v>142.36000000000001</v>
      </c>
      <c r="N103" s="14" t="str">
        <f>VLOOKUP(A103,[2]Sheet1!$B$4:$F$352,3,0)</f>
        <v>CHS2L</v>
      </c>
      <c r="O103" s="16">
        <f>VLOOKUP(A103,[2]Sheet1!$B$4:$F$352,4,0)</f>
        <v>4</v>
      </c>
      <c r="P103" s="16"/>
      <c r="Q103" s="16">
        <f>VLOOKUP(A103,[2]Sheet1!$B$4:$F$352,4,0)</f>
        <v>4</v>
      </c>
      <c r="R103" s="17">
        <f>VLOOKUP(A103,[1]Sheet1!$A$2:$F$379,3,0)</f>
        <v>13</v>
      </c>
      <c r="S103" s="16">
        <f>VLOOKUP(A103,[1]Sheet1!$A$2:$F$379,4,0)</f>
        <v>21</v>
      </c>
      <c r="T103" s="16">
        <f>VLOOKUP(A103,[1]Sheet1!$A$2:$F$379,5,0)</f>
        <v>611</v>
      </c>
      <c r="U103" s="16" t="str">
        <f>VLOOKUP(A103,[1]Sheet1!$A$2:$F$379,6,0)</f>
        <v>604±1</v>
      </c>
      <c r="V103" s="16"/>
      <c r="W103" s="16"/>
      <c r="X103" s="16"/>
      <c r="Y103" s="18" t="str">
        <f>VLOOKUP(A103,[3]Combi!$A$1:$B$304,2,0)</f>
        <v>SOP/PROD/HOSE/SPS/2/9</v>
      </c>
    </row>
    <row r="104" spans="1:26" s="18" customFormat="1" x14ac:dyDescent="0.25">
      <c r="A104" s="13" t="s">
        <v>1073</v>
      </c>
      <c r="B104" s="14" t="str">
        <f>VLOOKUP(A104,[1]Sheet1!$A$2:$F$379,2,0)</f>
        <v>16264-BZ320-H</v>
      </c>
      <c r="C104" s="14" t="s">
        <v>510</v>
      </c>
      <c r="D104" s="14" t="s">
        <v>1237</v>
      </c>
      <c r="E104" s="15">
        <v>65.88</v>
      </c>
      <c r="F104" s="14"/>
      <c r="G104" s="14"/>
      <c r="H104" s="14"/>
      <c r="I104" s="14"/>
      <c r="J104" s="15">
        <f t="shared" si="3"/>
        <v>65.88</v>
      </c>
      <c r="K104" s="14" t="s">
        <v>1265</v>
      </c>
      <c r="L104" s="15">
        <v>2.16</v>
      </c>
      <c r="M104" s="15">
        <f t="shared" si="2"/>
        <v>68.039999999999992</v>
      </c>
      <c r="N104" s="14" t="str">
        <f>VLOOKUP(A104,[2]Sheet1!$B$4:$F$352,3,0)</f>
        <v>CHS2L</v>
      </c>
      <c r="O104" s="16">
        <f>VLOOKUP(A104,[2]Sheet1!$B$4:$F$352,4,0)</f>
        <v>7</v>
      </c>
      <c r="P104" s="16"/>
      <c r="Q104" s="16">
        <f>VLOOKUP(A104,[2]Sheet1!$B$4:$F$352,4,0)</f>
        <v>7</v>
      </c>
      <c r="R104" s="17">
        <f>VLOOKUP(A104,[1]Sheet1!$A$2:$F$379,3,0)</f>
        <v>16</v>
      </c>
      <c r="S104" s="16">
        <f>VLOOKUP(A104,[1]Sheet1!$A$2:$F$379,4,0)</f>
        <v>24</v>
      </c>
      <c r="T104" s="16">
        <f>VLOOKUP(A104,[1]Sheet1!$A$2:$F$379,5,0)</f>
        <v>248</v>
      </c>
      <c r="U104" s="16" t="str">
        <f>VLOOKUP(A104,[1]Sheet1!$A$2:$F$379,6,0)</f>
        <v>244±1</v>
      </c>
      <c r="V104" s="16"/>
      <c r="W104" s="16"/>
      <c r="X104" s="16"/>
      <c r="Y104" s="18" t="str">
        <f>VLOOKUP(A104,[3]Combi!$A$1:$B$304,2,0)</f>
        <v>SOP/PROD/HOSE/SPS/2/7</v>
      </c>
    </row>
    <row r="105" spans="1:26" s="18" customFormat="1" x14ac:dyDescent="0.25">
      <c r="A105" s="13" t="s">
        <v>1079</v>
      </c>
      <c r="B105" s="14" t="str">
        <f>VLOOKUP(A105,[1]Sheet1!$A$2:$F$379,2,0)</f>
        <v>23827-BZ150-H (1)</v>
      </c>
      <c r="C105" s="14" t="s">
        <v>502</v>
      </c>
      <c r="D105" s="14" t="s">
        <v>1246</v>
      </c>
      <c r="E105" s="15">
        <v>53.6</v>
      </c>
      <c r="F105" s="14" t="s">
        <v>1245</v>
      </c>
      <c r="G105" s="15">
        <v>7.54</v>
      </c>
      <c r="H105" s="14"/>
      <c r="I105" s="14"/>
      <c r="J105" s="15">
        <f t="shared" si="3"/>
        <v>61.14</v>
      </c>
      <c r="K105" s="14"/>
      <c r="L105" s="14"/>
      <c r="M105" s="15">
        <f t="shared" si="2"/>
        <v>61.14</v>
      </c>
      <c r="N105" s="14" t="str">
        <f>VLOOKUP(A105,[2]Sheet1!$B$4:$F$352,3,0)</f>
        <v>DL1</v>
      </c>
      <c r="O105" s="16">
        <f>VLOOKUP(A105,[2]Sheet1!$B$4:$F$352,4,0)</f>
        <v>4</v>
      </c>
      <c r="P105" s="16"/>
      <c r="Q105" s="16">
        <f>VLOOKUP(A105,[2]Sheet1!$B$4:$F$352,4,0)</f>
        <v>4</v>
      </c>
      <c r="R105" s="17">
        <f>VLOOKUP(A105,[1]Sheet1!$A$2:$F$379,3,0)</f>
        <v>5.4</v>
      </c>
      <c r="S105" s="16">
        <f>VLOOKUP(A105,[1]Sheet1!$A$2:$F$379,4,0)</f>
        <v>12.4</v>
      </c>
      <c r="T105" s="16" t="str">
        <f>VLOOKUP(A105,[1]Sheet1!$A$2:$F$379,5,0)</f>
        <v>547±2</v>
      </c>
      <c r="U105" s="16" t="str">
        <f>VLOOKUP(A105,[1]Sheet1!$A$2:$F$379,6,0)</f>
        <v>495-500</v>
      </c>
      <c r="V105" s="16"/>
      <c r="W105" s="16"/>
      <c r="X105" s="16"/>
      <c r="Y105" s="18" t="e">
        <f>VLOOKUP(A105,[3]Combi!$A$1:$B$304,2,0)</f>
        <v>#N/A</v>
      </c>
      <c r="Z105" s="22" t="s">
        <v>1303</v>
      </c>
    </row>
    <row r="106" spans="1:26" s="18" customFormat="1" x14ac:dyDescent="0.25">
      <c r="A106" s="13" t="s">
        <v>1069</v>
      </c>
      <c r="B106" s="14" t="str">
        <f>VLOOKUP(A106,[1]Sheet1!$A$2:$F$379,2,0)</f>
        <v>23827-BZ150-H (2)</v>
      </c>
      <c r="C106" s="14" t="s">
        <v>502</v>
      </c>
      <c r="D106" s="14" t="s">
        <v>1246</v>
      </c>
      <c r="E106" s="15">
        <v>27.57</v>
      </c>
      <c r="F106" s="14" t="s">
        <v>1245</v>
      </c>
      <c r="G106" s="15">
        <v>3.95</v>
      </c>
      <c r="H106" s="14"/>
      <c r="I106" s="14"/>
      <c r="J106" s="15">
        <f t="shared" si="3"/>
        <v>31.52</v>
      </c>
      <c r="K106" s="14"/>
      <c r="L106" s="14"/>
      <c r="M106" s="15">
        <f t="shared" si="2"/>
        <v>31.52</v>
      </c>
      <c r="N106" s="14" t="str">
        <f>VLOOKUP(A106,[2]Sheet1!$B$4:$F$352,3,0)</f>
        <v>DL1</v>
      </c>
      <c r="O106" s="16">
        <f>VLOOKUP(A106,[2]Sheet1!$B$4:$F$352,4,0)</f>
        <v>7</v>
      </c>
      <c r="P106" s="16"/>
      <c r="Q106" s="16">
        <f>VLOOKUP(A106,[2]Sheet1!$B$4:$F$352,4,0)</f>
        <v>7</v>
      </c>
      <c r="R106" s="17">
        <f>VLOOKUP(A106,[1]Sheet1!$A$2:$F$379,3,0)</f>
        <v>7</v>
      </c>
      <c r="S106" s="16">
        <f>VLOOKUP(A106,[1]Sheet1!$A$2:$F$379,4,0)</f>
        <v>14</v>
      </c>
      <c r="T106" s="16" t="str">
        <f>VLOOKUP(A106,[1]Sheet1!$A$2:$F$379,5,0)</f>
        <v>143±2</v>
      </c>
      <c r="U106" s="16" t="str">
        <f>VLOOKUP(A106,[1]Sheet1!$A$2:$F$379,6,0)</f>
        <v>131-133</v>
      </c>
      <c r="V106" s="16"/>
      <c r="W106" s="16"/>
      <c r="X106" s="16"/>
      <c r="Y106" s="18" t="str">
        <f>VLOOKUP(A106,[3]Combi!$A$1:$B$304,2,0)</f>
        <v>SOP/PROD/HOSE/SPS/1/8</v>
      </c>
    </row>
    <row r="107" spans="1:26" s="18" customFormat="1" x14ac:dyDescent="0.25">
      <c r="A107" s="13" t="s">
        <v>1078</v>
      </c>
      <c r="B107" s="14" t="str">
        <f>VLOOKUP(A107,[1]Sheet1!$A$2:$F$379,2,0)</f>
        <v>16261-BZ660-H</v>
      </c>
      <c r="C107" s="14" t="s">
        <v>520</v>
      </c>
      <c r="D107" s="14" t="s">
        <v>1237</v>
      </c>
      <c r="E107" s="15">
        <v>123.3</v>
      </c>
      <c r="F107" s="14"/>
      <c r="G107" s="14"/>
      <c r="H107" s="14"/>
      <c r="I107" s="14"/>
      <c r="J107" s="15">
        <f t="shared" si="3"/>
        <v>123.3</v>
      </c>
      <c r="K107" s="14" t="s">
        <v>1265</v>
      </c>
      <c r="L107" s="15">
        <v>4.04</v>
      </c>
      <c r="M107" s="15">
        <f t="shared" si="2"/>
        <v>127.34</v>
      </c>
      <c r="N107" s="14" t="str">
        <f>VLOOKUP(A107,[2]Sheet1!$B$4:$F$352,3,0)</f>
        <v>CHS2L</v>
      </c>
      <c r="O107" s="16">
        <f>VLOOKUP(A107,[2]Sheet1!$B$4:$F$352,4,0)</f>
        <v>4</v>
      </c>
      <c r="P107" s="16"/>
      <c r="Q107" s="16">
        <f>VLOOKUP(A107,[2]Sheet1!$B$4:$F$352,4,0)</f>
        <v>4</v>
      </c>
      <c r="R107" s="17">
        <f>VLOOKUP(A107,[1]Sheet1!$A$2:$F$379,3,0)</f>
        <v>16</v>
      </c>
      <c r="S107" s="16">
        <f>VLOOKUP(A107,[1]Sheet1!$A$2:$F$379,4,0)</f>
        <v>24</v>
      </c>
      <c r="T107" s="16">
        <f>VLOOKUP(A107,[1]Sheet1!$A$2:$F$379,5,0)</f>
        <v>392</v>
      </c>
      <c r="U107" s="16" t="str">
        <f>VLOOKUP(A107,[1]Sheet1!$A$2:$F$379,6,0)</f>
        <v>388±1</v>
      </c>
      <c r="V107" s="16"/>
      <c r="W107" s="16"/>
      <c r="X107" s="16"/>
      <c r="Y107" s="18" t="str">
        <f>VLOOKUP(A107,[3]Combi!$A$1:$B$304,2,0)</f>
        <v>SOP/PROD/HOSE/SPS/2/7</v>
      </c>
    </row>
    <row r="108" spans="1:26" s="18" customFormat="1" x14ac:dyDescent="0.25">
      <c r="A108" s="13" t="s">
        <v>1068</v>
      </c>
      <c r="B108" s="14" t="str">
        <f>VLOOKUP(A108,[1]Sheet1!$A$2:$F$379,2,0)</f>
        <v>44726-BZ020-H</v>
      </c>
      <c r="C108" s="14" t="s">
        <v>500</v>
      </c>
      <c r="D108" s="14" t="s">
        <v>1224</v>
      </c>
      <c r="E108" s="15">
        <v>8.3699999999999992</v>
      </c>
      <c r="F108" s="14" t="s">
        <v>1225</v>
      </c>
      <c r="G108" s="15">
        <v>7.19</v>
      </c>
      <c r="H108" s="14" t="s">
        <v>1226</v>
      </c>
      <c r="I108" s="15">
        <v>18.62</v>
      </c>
      <c r="J108" s="15">
        <f t="shared" si="3"/>
        <v>34.18</v>
      </c>
      <c r="K108" s="14" t="s">
        <v>1264</v>
      </c>
      <c r="L108" s="15">
        <v>0.9</v>
      </c>
      <c r="M108" s="15">
        <f t="shared" si="2"/>
        <v>35.08</v>
      </c>
      <c r="N108" s="14" t="str">
        <f>VLOOKUP(A108,[2]Sheet1!$B$4:$F$352,3,0)</f>
        <v>CHS3L</v>
      </c>
      <c r="O108" s="16">
        <f>VLOOKUP(A108,[2]Sheet1!$B$4:$F$352,4,0)</f>
        <v>0</v>
      </c>
      <c r="P108" s="16"/>
      <c r="Q108" s="16">
        <f>VLOOKUP(A108,[2]Sheet1!$B$4:$F$352,4,0)</f>
        <v>0</v>
      </c>
      <c r="R108" s="17">
        <f>VLOOKUP(A108,[1]Sheet1!$A$2:$F$379,3,0)</f>
        <v>7.5</v>
      </c>
      <c r="S108" s="16">
        <f>VLOOKUP(A108,[1]Sheet1!$A$2:$F$379,4,0)</f>
        <v>16</v>
      </c>
      <c r="T108" s="16">
        <f>VLOOKUP(A108,[1]Sheet1!$A$2:$F$379,5,0)</f>
        <v>159</v>
      </c>
      <c r="U108" s="16" t="str">
        <f>VLOOKUP(A108,[1]Sheet1!$A$2:$F$379,6,0)</f>
        <v>156±1</v>
      </c>
      <c r="V108" s="16"/>
      <c r="W108" s="16"/>
      <c r="X108" s="16"/>
      <c r="Y108" s="18" t="str">
        <f>VLOOKUP(A108,[3]Combi!$A$1:$B$304,2,0)</f>
        <v>SOP/PROD/HOSE/SPS/3/2</v>
      </c>
    </row>
    <row r="109" spans="1:26" s="18" customFormat="1" x14ac:dyDescent="0.25">
      <c r="A109" s="13" t="s">
        <v>1065</v>
      </c>
      <c r="B109" s="14" t="str">
        <f>VLOOKUP(A109,[1]Sheet1!$A$2:$F$379,2,0)</f>
        <v>16267-BZ210-H</v>
      </c>
      <c r="C109" s="14" t="s">
        <v>493</v>
      </c>
      <c r="D109" s="14" t="s">
        <v>1237</v>
      </c>
      <c r="E109" s="15">
        <v>12.96</v>
      </c>
      <c r="F109" s="14"/>
      <c r="G109" s="14"/>
      <c r="H109" s="14"/>
      <c r="I109" s="14"/>
      <c r="J109" s="15">
        <f t="shared" si="3"/>
        <v>12.96</v>
      </c>
      <c r="K109" s="14" t="s">
        <v>1268</v>
      </c>
      <c r="L109" s="15">
        <v>0.3</v>
      </c>
      <c r="M109" s="15">
        <f t="shared" si="2"/>
        <v>13.260000000000002</v>
      </c>
      <c r="N109" s="14" t="str">
        <f>VLOOKUP(A109,[2]Sheet1!$B$4:$F$352,3,0)</f>
        <v>CHS2L</v>
      </c>
      <c r="O109" s="16">
        <f>VLOOKUP(A109,[2]Sheet1!$B$4:$F$352,4,0)</f>
        <v>7</v>
      </c>
      <c r="P109" s="16"/>
      <c r="Q109" s="16">
        <f>VLOOKUP(A109,[2]Sheet1!$B$4:$F$352,4,0)</f>
        <v>7</v>
      </c>
      <c r="R109" s="17">
        <f>VLOOKUP(A109,[1]Sheet1!$A$2:$F$379,3,0)</f>
        <v>7.5</v>
      </c>
      <c r="S109" s="16">
        <f>VLOOKUP(A109,[1]Sheet1!$A$2:$F$379,4,0)</f>
        <v>14.5</v>
      </c>
      <c r="T109" s="16">
        <f>VLOOKUP(A109,[1]Sheet1!$A$2:$F$379,5,0)</f>
        <v>95</v>
      </c>
      <c r="U109" s="16" t="str">
        <f>VLOOKUP(A109,[1]Sheet1!$A$2:$F$379,6,0)</f>
        <v>94±1</v>
      </c>
      <c r="V109" s="16"/>
      <c r="W109" s="16"/>
      <c r="X109" s="16"/>
      <c r="Y109" s="18" t="str">
        <f>VLOOKUP(A109,[3]Combi!$A$1:$B$304,2,0)</f>
        <v>SOP/PROD/HOSE/SPS/2/17</v>
      </c>
    </row>
    <row r="110" spans="1:26" s="18" customFormat="1" x14ac:dyDescent="0.25">
      <c r="A110" s="13" t="s">
        <v>993</v>
      </c>
      <c r="B110" s="14" t="str">
        <f>VLOOKUP(A110,[1]Sheet1!$A$2:$F$379,2,0)</f>
        <v>16264-BZ320-H</v>
      </c>
      <c r="C110" s="14" t="s">
        <v>325</v>
      </c>
      <c r="D110" s="14" t="s">
        <v>1237</v>
      </c>
      <c r="E110" s="15">
        <v>68.86</v>
      </c>
      <c r="F110" s="14"/>
      <c r="G110" s="14"/>
      <c r="H110" s="14"/>
      <c r="I110" s="14"/>
      <c r="J110" s="15">
        <f t="shared" si="3"/>
        <v>68.86</v>
      </c>
      <c r="K110" s="14" t="s">
        <v>1265</v>
      </c>
      <c r="L110" s="15">
        <v>2.2599999999999998</v>
      </c>
      <c r="M110" s="15">
        <f t="shared" si="2"/>
        <v>71.12</v>
      </c>
      <c r="N110" s="14" t="str">
        <f>VLOOKUP(A110,[2]Sheet1!$B$4:$F$352,3,0)</f>
        <v>CHS2L</v>
      </c>
      <c r="O110" s="16">
        <f>VLOOKUP(A110,[2]Sheet1!$B$4:$F$352,4,0)</f>
        <v>7</v>
      </c>
      <c r="P110" s="16"/>
      <c r="Q110" s="16">
        <f>VLOOKUP(A110,[2]Sheet1!$B$4:$F$352,4,0)</f>
        <v>7</v>
      </c>
      <c r="R110" s="17">
        <f>VLOOKUP(A110,[1]Sheet1!$A$2:$F$379,3,0)</f>
        <v>16</v>
      </c>
      <c r="S110" s="16">
        <f>VLOOKUP(A110,[1]Sheet1!$A$2:$F$379,4,0)</f>
        <v>24</v>
      </c>
      <c r="T110" s="16">
        <f>VLOOKUP(A110,[1]Sheet1!$A$2:$F$379,5,0)</f>
        <v>248</v>
      </c>
      <c r="U110" s="16" t="str">
        <f>VLOOKUP(A110,[1]Sheet1!$A$2:$F$379,6,0)</f>
        <v>244±1</v>
      </c>
      <c r="V110" s="16"/>
      <c r="W110" s="16"/>
      <c r="X110" s="16"/>
      <c r="Y110" s="18" t="str">
        <f>VLOOKUP(A110,[3]Combi!$A$1:$B$304,2,0)</f>
        <v>SOP/PROD/HOSE/SPS/2/7</v>
      </c>
    </row>
    <row r="111" spans="1:26" s="18" customFormat="1" x14ac:dyDescent="0.25">
      <c r="A111" s="13" t="s">
        <v>1036</v>
      </c>
      <c r="B111" s="14" t="str">
        <f>VLOOKUP(A111,[1]Sheet1!$A$2:$F$379,2,0)</f>
        <v>16261-BZ650-H</v>
      </c>
      <c r="C111" s="14" t="s">
        <v>424</v>
      </c>
      <c r="D111" s="14" t="s">
        <v>1237</v>
      </c>
      <c r="E111" s="15">
        <v>81.67</v>
      </c>
      <c r="F111" s="14"/>
      <c r="G111" s="14"/>
      <c r="H111" s="14"/>
      <c r="I111" s="14"/>
      <c r="J111" s="15">
        <f t="shared" si="3"/>
        <v>81.67</v>
      </c>
      <c r="K111" s="14" t="s">
        <v>1265</v>
      </c>
      <c r="L111" s="15">
        <v>2.68</v>
      </c>
      <c r="M111" s="15">
        <f t="shared" si="2"/>
        <v>84.350000000000009</v>
      </c>
      <c r="N111" s="14" t="str">
        <f>VLOOKUP(A111,[2]Sheet1!$B$4:$F$352,3,0)</f>
        <v>CHS2L</v>
      </c>
      <c r="O111" s="16">
        <f>VLOOKUP(A111,[2]Sheet1!$B$4:$F$352,4,0)</f>
        <v>5</v>
      </c>
      <c r="P111" s="16"/>
      <c r="Q111" s="16">
        <f>VLOOKUP(A111,[2]Sheet1!$B$4:$F$352,4,0)</f>
        <v>5</v>
      </c>
      <c r="R111" s="17">
        <f>VLOOKUP(A111,[1]Sheet1!$A$2:$F$379,3,0)</f>
        <v>16</v>
      </c>
      <c r="S111" s="16">
        <f>VLOOKUP(A111,[1]Sheet1!$A$2:$F$379,4,0)</f>
        <v>24</v>
      </c>
      <c r="T111" s="16">
        <f>VLOOKUP(A111,[1]Sheet1!$A$2:$F$379,5,0)</f>
        <v>258</v>
      </c>
      <c r="U111" s="16" t="str">
        <f>VLOOKUP(A111,[1]Sheet1!$A$2:$F$379,6,0)</f>
        <v>254±1</v>
      </c>
      <c r="V111" s="16"/>
      <c r="W111" s="16"/>
      <c r="X111" s="16"/>
      <c r="Y111" s="18" t="str">
        <f>VLOOKUP(A111,[3]Combi!$A$1:$B$304,2,0)</f>
        <v>SOP/PROD/HOSE/SPS/2/7</v>
      </c>
    </row>
    <row r="112" spans="1:26" s="18" customFormat="1" x14ac:dyDescent="0.25">
      <c r="A112" s="13" t="s">
        <v>1043</v>
      </c>
      <c r="B112" s="14" t="str">
        <f>VLOOKUP(A112,[1]Sheet1!$A$2:$F$379,2,0)</f>
        <v>16261-BZ600-J</v>
      </c>
      <c r="C112" s="14" t="s">
        <v>446</v>
      </c>
      <c r="D112" s="14" t="s">
        <v>1237</v>
      </c>
      <c r="E112" s="15">
        <v>71.599999999999994</v>
      </c>
      <c r="F112" s="14"/>
      <c r="G112" s="14"/>
      <c r="H112" s="14"/>
      <c r="I112" s="14"/>
      <c r="J112" s="15">
        <f t="shared" si="3"/>
        <v>71.599999999999994</v>
      </c>
      <c r="K112" s="14" t="s">
        <v>1265</v>
      </c>
      <c r="L112" s="15">
        <v>2.52</v>
      </c>
      <c r="M112" s="15">
        <f t="shared" si="2"/>
        <v>74.11999999999999</v>
      </c>
      <c r="N112" s="14" t="str">
        <f>VLOOKUP(A112,[2]Sheet1!$B$4:$F$352,3,0)</f>
        <v>CHS2L</v>
      </c>
      <c r="O112" s="16">
        <f>VLOOKUP(A112,[2]Sheet1!$B$4:$F$352,4,0)</f>
        <v>7</v>
      </c>
      <c r="P112" s="16"/>
      <c r="Q112" s="16">
        <f>VLOOKUP(A112,[2]Sheet1!$B$4:$F$352,4,0)</f>
        <v>7</v>
      </c>
      <c r="R112" s="17">
        <f>VLOOKUP(A112,[1]Sheet1!$A$2:$F$379,3,0)</f>
        <v>13</v>
      </c>
      <c r="S112" s="16">
        <f>VLOOKUP(A112,[1]Sheet1!$A$2:$F$379,4,0)</f>
        <v>21</v>
      </c>
      <c r="T112" s="16">
        <f>VLOOKUP(A112,[1]Sheet1!$A$2:$F$379,5,0)</f>
        <v>326</v>
      </c>
      <c r="U112" s="16" t="str">
        <f>VLOOKUP(A112,[1]Sheet1!$A$2:$F$379,6,0)</f>
        <v>319±1</v>
      </c>
      <c r="V112" s="16"/>
      <c r="W112" s="16"/>
      <c r="X112" s="16"/>
      <c r="Y112" s="18" t="e">
        <f>VLOOKUP(A112,[3]Combi!$A$1:$B$304,2,0)</f>
        <v>#N/A</v>
      </c>
      <c r="Z112" s="22" t="s">
        <v>1304</v>
      </c>
    </row>
    <row r="113" spans="1:26" s="18" customFormat="1" x14ac:dyDescent="0.25">
      <c r="A113" s="13" t="s">
        <v>1035</v>
      </c>
      <c r="B113" s="14" t="str">
        <f>VLOOKUP(A113,[1]Sheet1!$A$2:$F$379,2,0)</f>
        <v>12261-BZ210-B</v>
      </c>
      <c r="C113" s="14" t="s">
        <v>422</v>
      </c>
      <c r="D113" s="14" t="s">
        <v>1235</v>
      </c>
      <c r="E113" s="15">
        <v>83.2</v>
      </c>
      <c r="F113" s="14" t="s">
        <v>1230</v>
      </c>
      <c r="G113" s="15">
        <v>18.07</v>
      </c>
      <c r="H113" s="14"/>
      <c r="I113" s="14"/>
      <c r="J113" s="15">
        <f t="shared" si="3"/>
        <v>101.27000000000001</v>
      </c>
      <c r="K113" s="14"/>
      <c r="L113" s="14"/>
      <c r="M113" s="15">
        <f t="shared" si="2"/>
        <v>101.27000000000001</v>
      </c>
      <c r="N113" s="14" t="str">
        <f>VLOOKUP(A113,[2]Sheet1!$B$4:$F$352,3,0)</f>
        <v>DL2</v>
      </c>
      <c r="O113" s="16">
        <f>VLOOKUP(A113,[2]Sheet1!$B$4:$F$352,4,0)</f>
        <v>5</v>
      </c>
      <c r="P113" s="16"/>
      <c r="Q113" s="16">
        <f>VLOOKUP(A113,[2]Sheet1!$B$4:$F$352,4,0)</f>
        <v>5</v>
      </c>
      <c r="R113" s="17">
        <f>VLOOKUP(A113,[1]Sheet1!$A$2:$F$379,3,0)</f>
        <v>9</v>
      </c>
      <c r="S113" s="16">
        <f>VLOOKUP(A113,[1]Sheet1!$A$2:$F$379,4,0)</f>
        <v>17</v>
      </c>
      <c r="T113" s="16" t="str">
        <f>VLOOKUP(A113,[1]Sheet1!$A$2:$F$379,5,0)</f>
        <v>570±2</v>
      </c>
      <c r="U113" s="16" t="str">
        <f>VLOOKUP(A113,[1]Sheet1!$A$2:$F$379,6,0)</f>
        <v>516-520</v>
      </c>
      <c r="V113" s="16"/>
      <c r="W113" s="16"/>
      <c r="X113" s="16"/>
      <c r="Y113" s="18" t="str">
        <f>VLOOKUP(A113,[3]Combi!$A$1:$B$304,2,0)</f>
        <v>SOP/PROD/HOSE/SPS/1/19</v>
      </c>
    </row>
    <row r="114" spans="1:26" s="18" customFormat="1" x14ac:dyDescent="0.25">
      <c r="A114" s="13" t="s">
        <v>1011</v>
      </c>
      <c r="B114" s="14" t="str">
        <f>VLOOKUP(A114,[1]Sheet1!$A$2:$F$379,2,0)</f>
        <v>16264-BZ230-H</v>
      </c>
      <c r="C114" s="14" t="s">
        <v>370</v>
      </c>
      <c r="D114" s="14" t="s">
        <v>1237</v>
      </c>
      <c r="E114" s="15">
        <v>62.51</v>
      </c>
      <c r="F114" s="14"/>
      <c r="G114" s="14"/>
      <c r="H114" s="14"/>
      <c r="I114" s="14"/>
      <c r="J114" s="15">
        <f t="shared" si="3"/>
        <v>62.51</v>
      </c>
      <c r="K114" s="14" t="s">
        <v>1265</v>
      </c>
      <c r="L114" s="15">
        <v>2.2000000000000002</v>
      </c>
      <c r="M114" s="15">
        <f t="shared" si="2"/>
        <v>64.709999999999994</v>
      </c>
      <c r="N114" s="14" t="str">
        <f>VLOOKUP(A114,[2]Sheet1!$B$4:$F$352,3,0)</f>
        <v>CHS2L</v>
      </c>
      <c r="O114" s="16">
        <f>VLOOKUP(A114,[2]Sheet1!$B$4:$F$352,4,0)</f>
        <v>7</v>
      </c>
      <c r="P114" s="16"/>
      <c r="Q114" s="16">
        <f>VLOOKUP(A114,[2]Sheet1!$B$4:$F$352,4,0)</f>
        <v>7</v>
      </c>
      <c r="R114" s="17">
        <f>VLOOKUP(A114,[1]Sheet1!$A$2:$F$379,3,0)</f>
        <v>13</v>
      </c>
      <c r="S114" s="16">
        <f>VLOOKUP(A114,[1]Sheet1!$A$2:$F$379,4,0)</f>
        <v>21</v>
      </c>
      <c r="T114" s="16">
        <f>VLOOKUP(A114,[1]Sheet1!$A$2:$F$379,5,0)</f>
        <v>295</v>
      </c>
      <c r="U114" s="16" t="str">
        <f>VLOOKUP(A114,[1]Sheet1!$A$2:$F$379,6,0)</f>
        <v>293±1</v>
      </c>
      <c r="V114" s="16"/>
      <c r="W114" s="16"/>
      <c r="X114" s="16"/>
      <c r="Y114" s="18" t="str">
        <f>VLOOKUP(A114,[3]Combi!$A$1:$B$304,2,0)</f>
        <v>SOP/PROD/HOSE/SPS/2/9</v>
      </c>
    </row>
    <row r="115" spans="1:26" s="18" customFormat="1" x14ac:dyDescent="0.25">
      <c r="A115" s="13" t="s">
        <v>986</v>
      </c>
      <c r="B115" s="14" t="str">
        <f>VLOOKUP(A115,[1]Sheet1!$A$2:$F$379,2,0)</f>
        <v>44726-BZ010-H</v>
      </c>
      <c r="C115" s="14" t="s">
        <v>309</v>
      </c>
      <c r="D115" s="14" t="s">
        <v>1224</v>
      </c>
      <c r="E115" s="15">
        <v>5</v>
      </c>
      <c r="F115" s="14" t="s">
        <v>1225</v>
      </c>
      <c r="G115" s="15">
        <v>4.29</v>
      </c>
      <c r="H115" s="14" t="s">
        <v>1226</v>
      </c>
      <c r="I115" s="15">
        <v>11.12</v>
      </c>
      <c r="J115" s="15">
        <f t="shared" si="3"/>
        <v>20.409999999999997</v>
      </c>
      <c r="K115" s="14" t="s">
        <v>1264</v>
      </c>
      <c r="L115" s="15">
        <v>0.54</v>
      </c>
      <c r="M115" s="15">
        <f t="shared" si="2"/>
        <v>20.95</v>
      </c>
      <c r="N115" s="14" t="str">
        <f>VLOOKUP(A115,[2]Sheet1!$B$4:$F$352,3,0)</f>
        <v>CHS3L</v>
      </c>
      <c r="O115" s="16">
        <f>VLOOKUP(A115,[2]Sheet1!$B$4:$F$352,4,0)</f>
        <v>2</v>
      </c>
      <c r="P115" s="16"/>
      <c r="Q115" s="16">
        <f>VLOOKUP(A115,[2]Sheet1!$B$4:$F$352,4,0)</f>
        <v>2</v>
      </c>
      <c r="R115" s="17">
        <f>VLOOKUP(A115,[1]Sheet1!$A$2:$F$379,3,0)</f>
        <v>7.5</v>
      </c>
      <c r="S115" s="16">
        <f>VLOOKUP(A115,[1]Sheet1!$A$2:$F$379,4,0)</f>
        <v>16</v>
      </c>
      <c r="T115" s="16">
        <f>VLOOKUP(A115,[1]Sheet1!$A$2:$F$379,5,0)</f>
        <v>95</v>
      </c>
      <c r="U115" s="16" t="str">
        <f>VLOOKUP(A115,[1]Sheet1!$A$2:$F$379,6,0)</f>
        <v>93±1</v>
      </c>
      <c r="V115" s="16"/>
      <c r="W115" s="16"/>
      <c r="X115" s="16"/>
      <c r="Y115" s="18" t="str">
        <f>VLOOKUP(A115,[3]Combi!$A$1:$B$304,2,0)</f>
        <v>SOP/PROD/HOSE/SPS/3/2</v>
      </c>
    </row>
    <row r="116" spans="1:26" s="18" customFormat="1" x14ac:dyDescent="0.25">
      <c r="A116" s="13" t="s">
        <v>959</v>
      </c>
      <c r="B116" s="14" t="str">
        <f>VLOOKUP(A116,[1]Sheet1!$A$2:$F$379,2,0)</f>
        <v>23827-BZ130-H</v>
      </c>
      <c r="C116" s="14" t="s">
        <v>242</v>
      </c>
      <c r="D116" s="14" t="s">
        <v>1246</v>
      </c>
      <c r="E116" s="15">
        <v>66.7</v>
      </c>
      <c r="F116" s="14" t="s">
        <v>1245</v>
      </c>
      <c r="G116" s="15">
        <v>9.5500000000000007</v>
      </c>
      <c r="H116" s="14"/>
      <c r="I116" s="14"/>
      <c r="J116" s="15">
        <f t="shared" si="3"/>
        <v>76.25</v>
      </c>
      <c r="K116" s="14"/>
      <c r="L116" s="14"/>
      <c r="M116" s="15">
        <f t="shared" si="2"/>
        <v>76.25</v>
      </c>
      <c r="N116" s="14" t="str">
        <f>VLOOKUP(A116,[2]Sheet1!$B$4:$F$352,3,0)</f>
        <v>DL1</v>
      </c>
      <c r="O116" s="16">
        <f>VLOOKUP(A116,[2]Sheet1!$B$4:$F$352,4,0)</f>
        <v>4</v>
      </c>
      <c r="P116" s="16"/>
      <c r="Q116" s="16">
        <f>VLOOKUP(A116,[2]Sheet1!$B$4:$F$352,4,0)</f>
        <v>4</v>
      </c>
      <c r="R116" s="17">
        <f>VLOOKUP(A116,[1]Sheet1!$A$2:$F$379,3,0)</f>
        <v>7</v>
      </c>
      <c r="S116" s="16">
        <f>VLOOKUP(A116,[1]Sheet1!$A$2:$F$379,4,0)</f>
        <v>14</v>
      </c>
      <c r="T116" s="16" t="str">
        <f>VLOOKUP(A116,[1]Sheet1!$A$2:$F$379,5,0)</f>
        <v>541±2</v>
      </c>
      <c r="U116" s="16" t="str">
        <f>VLOOKUP(A116,[1]Sheet1!$A$2:$F$379,6,0)</f>
        <v>493-497</v>
      </c>
      <c r="V116" s="16"/>
      <c r="W116" s="16"/>
      <c r="X116" s="16"/>
      <c r="Y116" s="18" t="str">
        <f>VLOOKUP(A116,[3]Combi!$A$1:$B$304,2,0)</f>
        <v>SOP/PROD/HOSE/SPS/1/8</v>
      </c>
    </row>
    <row r="117" spans="1:26" s="18" customFormat="1" x14ac:dyDescent="0.25">
      <c r="A117" s="13" t="s">
        <v>1064</v>
      </c>
      <c r="B117" s="14" t="str">
        <f>VLOOKUP(A117,[1]Sheet1!$A$2:$F$379,2,0)</f>
        <v>16261-BZ430-H</v>
      </c>
      <c r="C117" s="14" t="s">
        <v>490</v>
      </c>
      <c r="D117" s="14" t="s">
        <v>1237</v>
      </c>
      <c r="E117" s="15">
        <v>77.28</v>
      </c>
      <c r="F117" s="14"/>
      <c r="G117" s="14"/>
      <c r="H117" s="14"/>
      <c r="I117" s="14"/>
      <c r="J117" s="15">
        <f t="shared" si="3"/>
        <v>77.28</v>
      </c>
      <c r="K117" s="14" t="s">
        <v>1265</v>
      </c>
      <c r="L117" s="15">
        <v>2.72</v>
      </c>
      <c r="M117" s="15">
        <f t="shared" si="2"/>
        <v>80</v>
      </c>
      <c r="N117" s="14" t="str">
        <f>VLOOKUP(A117,[2]Sheet1!$B$4:$F$352,3,0)</f>
        <v>CHS2L</v>
      </c>
      <c r="O117" s="16">
        <f>VLOOKUP(A117,[2]Sheet1!$B$4:$F$352,4,0)</f>
        <v>7</v>
      </c>
      <c r="P117" s="16"/>
      <c r="Q117" s="16">
        <f>VLOOKUP(A117,[2]Sheet1!$B$4:$F$352,4,0)</f>
        <v>7</v>
      </c>
      <c r="R117" s="17">
        <f>VLOOKUP(A117,[1]Sheet1!$A$2:$F$379,3,0)</f>
        <v>13</v>
      </c>
      <c r="S117" s="16">
        <f>VLOOKUP(A117,[1]Sheet1!$A$2:$F$379,4,0)</f>
        <v>21</v>
      </c>
      <c r="T117" s="16">
        <f>VLOOKUP(A117,[1]Sheet1!$A$2:$F$379,5,0)</f>
        <v>381</v>
      </c>
      <c r="U117" s="16" t="str">
        <f>VLOOKUP(A117,[1]Sheet1!$A$2:$F$379,6,0)</f>
        <v>374±1</v>
      </c>
      <c r="V117" s="16"/>
      <c r="W117" s="16"/>
      <c r="X117" s="16"/>
      <c r="Y117" s="18" t="str">
        <f>VLOOKUP(A117,[3]Combi!$A$1:$B$304,2,0)</f>
        <v>SOP/PROD/HOSE/SPS/2/9</v>
      </c>
    </row>
    <row r="118" spans="1:26" s="18" customFormat="1" x14ac:dyDescent="0.25">
      <c r="A118" s="13" t="s">
        <v>1080</v>
      </c>
      <c r="B118" s="14" t="str">
        <f>VLOOKUP(A118,[1]Sheet1!$A$2:$F$379,2,0)</f>
        <v>77213-BZ250-H</v>
      </c>
      <c r="C118" s="14" t="s">
        <v>523</v>
      </c>
      <c r="D118" s="14" t="s">
        <v>1256</v>
      </c>
      <c r="E118" s="15">
        <v>184.23</v>
      </c>
      <c r="F118" s="14"/>
      <c r="G118" s="14"/>
      <c r="H118" s="14"/>
      <c r="I118" s="14"/>
      <c r="J118" s="15">
        <f t="shared" si="3"/>
        <v>184.23</v>
      </c>
      <c r="K118" s="14"/>
      <c r="L118" s="14"/>
      <c r="M118" s="15">
        <f t="shared" si="2"/>
        <v>184.23</v>
      </c>
      <c r="N118" s="14" t="s">
        <v>1290</v>
      </c>
      <c r="O118" s="16">
        <f>VLOOKUP(A118,[2]Sheet1!$B$4:$F$352,4,0)</f>
        <v>6</v>
      </c>
      <c r="P118" s="16"/>
      <c r="Q118" s="16">
        <f>VLOOKUP(A118,[2]Sheet1!$B$4:$F$352,4,0)</f>
        <v>6</v>
      </c>
      <c r="R118" s="17">
        <f>VLOOKUP(A118,[1]Sheet1!$A$2:$F$379,3,0)</f>
        <v>34</v>
      </c>
      <c r="S118" s="16">
        <f>VLOOKUP(A118,[1]Sheet1!$A$2:$F$379,4,0)</f>
        <v>42</v>
      </c>
      <c r="T118" s="16" t="str">
        <f>VLOOKUP(A118,[1]Sheet1!$A$2:$F$379,5,0)</f>
        <v>545±2</v>
      </c>
      <c r="U118" s="16" t="str">
        <f>VLOOKUP(A118,[1]Sheet1!$A$2:$F$379,6,0)</f>
        <v>542-544</v>
      </c>
      <c r="V118" s="16"/>
      <c r="W118" s="16"/>
      <c r="X118" s="16"/>
      <c r="Y118" s="18" t="e">
        <f>VLOOKUP(A118,[3]Combi!$A$1:$B$304,2,0)</f>
        <v>#N/A</v>
      </c>
      <c r="Z118" s="22" t="s">
        <v>1297</v>
      </c>
    </row>
    <row r="119" spans="1:26" s="18" customFormat="1" x14ac:dyDescent="0.25">
      <c r="A119" s="13" t="s">
        <v>1072</v>
      </c>
      <c r="B119" s="14" t="str">
        <f>VLOOKUP(A119,[1]Sheet1!$A$2:$F$379,2,0)</f>
        <v>77269-BZ140-H</v>
      </c>
      <c r="C119" s="14" t="s">
        <v>508</v>
      </c>
      <c r="D119" s="14" t="s">
        <v>1256</v>
      </c>
      <c r="E119" s="15">
        <v>135.30000000000001</v>
      </c>
      <c r="F119" s="14"/>
      <c r="G119" s="14"/>
      <c r="H119" s="14"/>
      <c r="I119" s="14"/>
      <c r="J119" s="15">
        <f t="shared" si="3"/>
        <v>135.30000000000001</v>
      </c>
      <c r="K119" s="14"/>
      <c r="L119" s="14"/>
      <c r="M119" s="15">
        <f t="shared" si="2"/>
        <v>135.30000000000001</v>
      </c>
      <c r="N119" s="14" t="s">
        <v>1288</v>
      </c>
      <c r="O119" s="16" t="e">
        <f>VLOOKUP(A119,[2]Sheet1!$B$4:$F$352,4,0)</f>
        <v>#N/A</v>
      </c>
      <c r="P119" s="16"/>
      <c r="Q119" s="16" t="e">
        <f>VLOOKUP(A119,[2]Sheet1!$B$4:$F$352,4,0)</f>
        <v>#N/A</v>
      </c>
      <c r="R119" s="17">
        <f>VLOOKUP(A119,[1]Sheet1!$A$2:$F$379,3,0)</f>
        <v>13.5</v>
      </c>
      <c r="S119" s="16">
        <f>VLOOKUP(A119,[1]Sheet1!$A$2:$F$379,4,0)</f>
        <v>21.5</v>
      </c>
      <c r="T119" s="16" t="str">
        <f>VLOOKUP(A119,[1]Sheet1!$A$2:$F$379,5,0)</f>
        <v>515±2</v>
      </c>
      <c r="U119" s="16">
        <f>VLOOKUP(A119,[1]Sheet1!$A$2:$F$379,6,0)</f>
        <v>0</v>
      </c>
      <c r="V119" s="16"/>
      <c r="W119" s="16"/>
      <c r="X119" s="16"/>
      <c r="Y119" s="18" t="e">
        <f>VLOOKUP(A119,[3]Combi!$A$1:$B$304,2,0)</f>
        <v>#N/A</v>
      </c>
      <c r="Z119" s="22" t="s">
        <v>1305</v>
      </c>
    </row>
    <row r="120" spans="1:26" s="18" customFormat="1" x14ac:dyDescent="0.25">
      <c r="A120" s="13" t="s">
        <v>1053</v>
      </c>
      <c r="B120" s="14" t="str">
        <f>VLOOKUP(A120,[1]Sheet1!$A$2:$F$379,2,0)</f>
        <v>87245-BZ380-H</v>
      </c>
      <c r="C120" s="14" t="s">
        <v>466</v>
      </c>
      <c r="D120" s="14" t="s">
        <v>1237</v>
      </c>
      <c r="E120" s="15">
        <v>164.79</v>
      </c>
      <c r="F120" s="14"/>
      <c r="G120" s="14"/>
      <c r="H120" s="14"/>
      <c r="I120" s="14"/>
      <c r="J120" s="15">
        <f t="shared" si="3"/>
        <v>164.79</v>
      </c>
      <c r="K120" s="14" t="s">
        <v>1265</v>
      </c>
      <c r="L120" s="15">
        <v>5.8</v>
      </c>
      <c r="M120" s="15">
        <f t="shared" si="2"/>
        <v>170.59</v>
      </c>
      <c r="N120" s="14" t="str">
        <f>VLOOKUP(A120,[2]Sheet1!$B$4:$F$352,3,0)</f>
        <v>CHS2L</v>
      </c>
      <c r="O120" s="16">
        <f>VLOOKUP(A120,[2]Sheet1!$B$4:$F$352,4,0)</f>
        <v>7</v>
      </c>
      <c r="P120" s="16"/>
      <c r="Q120" s="16">
        <f>VLOOKUP(A120,[2]Sheet1!$B$4:$F$352,4,0)</f>
        <v>7</v>
      </c>
      <c r="R120" s="17">
        <f>VLOOKUP(A120,[1]Sheet1!$A$2:$F$379,3,0)</f>
        <v>13</v>
      </c>
      <c r="S120" s="16">
        <f>VLOOKUP(A120,[1]Sheet1!$A$2:$F$379,4,0)</f>
        <v>21</v>
      </c>
      <c r="T120" s="16">
        <f>VLOOKUP(A120,[1]Sheet1!$A$2:$F$379,5,0)</f>
        <v>743</v>
      </c>
      <c r="U120" s="16" t="str">
        <f>VLOOKUP(A120,[1]Sheet1!$A$2:$F$379,6,0)</f>
        <v>734±1</v>
      </c>
      <c r="V120" s="16"/>
      <c r="W120" s="16"/>
      <c r="X120" s="16"/>
      <c r="Y120" s="18" t="str">
        <f>VLOOKUP(A120,[3]Combi!$A$1:$B$304,2,0)</f>
        <v>SOP/PROD/HOSE/SPS/2/9</v>
      </c>
    </row>
    <row r="121" spans="1:26" s="18" customFormat="1" x14ac:dyDescent="0.25">
      <c r="A121" s="13" t="s">
        <v>1059</v>
      </c>
      <c r="B121" s="14" t="str">
        <f>VLOOKUP(A121,[1]Sheet1!$A$2:$F$379,2,0)</f>
        <v>87245-BZ390-H</v>
      </c>
      <c r="C121" s="14" t="s">
        <v>480</v>
      </c>
      <c r="D121" s="14" t="s">
        <v>1237</v>
      </c>
      <c r="E121" s="15">
        <v>187.52</v>
      </c>
      <c r="F121" s="14"/>
      <c r="G121" s="14"/>
      <c r="H121" s="14"/>
      <c r="I121" s="14"/>
      <c r="J121" s="15">
        <f t="shared" si="3"/>
        <v>187.52</v>
      </c>
      <c r="K121" s="14" t="s">
        <v>1265</v>
      </c>
      <c r="L121" s="15">
        <v>6.6</v>
      </c>
      <c r="M121" s="15">
        <f t="shared" si="2"/>
        <v>194.12</v>
      </c>
      <c r="N121" s="14" t="str">
        <f>VLOOKUP(A121,[2]Sheet1!$B$4:$F$352,3,0)</f>
        <v>CHS2L</v>
      </c>
      <c r="O121" s="16">
        <f>VLOOKUP(A121,[2]Sheet1!$B$4:$F$352,4,0)</f>
        <v>7</v>
      </c>
      <c r="P121" s="16"/>
      <c r="Q121" s="16">
        <f>VLOOKUP(A121,[2]Sheet1!$B$4:$F$352,4,0)</f>
        <v>7</v>
      </c>
      <c r="R121" s="17">
        <f>VLOOKUP(A121,[1]Sheet1!$A$2:$F$379,3,0)</f>
        <v>13</v>
      </c>
      <c r="S121" s="16">
        <f>VLOOKUP(A121,[1]Sheet1!$A$2:$F$379,4,0)</f>
        <v>21</v>
      </c>
      <c r="T121" s="16">
        <f>VLOOKUP(A121,[1]Sheet1!$A$2:$F$379,5,0)</f>
        <v>843</v>
      </c>
      <c r="U121" s="16" t="str">
        <f>VLOOKUP(A121,[1]Sheet1!$A$2:$F$379,6,0)</f>
        <v>838±5</v>
      </c>
      <c r="V121" s="16"/>
      <c r="W121" s="16"/>
      <c r="X121" s="16"/>
      <c r="Y121" s="18" t="str">
        <f>VLOOKUP(A121,[3]Combi!$A$1:$B$304,2,0)</f>
        <v>SOP/PROD/HOSE/SPS/2/9</v>
      </c>
    </row>
    <row r="122" spans="1:26" s="18" customFormat="1" x14ac:dyDescent="0.25">
      <c r="A122" s="13" t="s">
        <v>1051</v>
      </c>
      <c r="B122" s="14" t="str">
        <f>VLOOKUP(A122,[1]Sheet1!$A$2:$F$379,2,0)</f>
        <v>87245-BZ410-H</v>
      </c>
      <c r="C122" s="14" t="s">
        <v>462</v>
      </c>
      <c r="D122" s="14" t="s">
        <v>1237</v>
      </c>
      <c r="E122" s="15">
        <v>186.38</v>
      </c>
      <c r="F122" s="14"/>
      <c r="G122" s="14"/>
      <c r="H122" s="14"/>
      <c r="I122" s="14"/>
      <c r="J122" s="15">
        <f t="shared" si="3"/>
        <v>186.38</v>
      </c>
      <c r="K122" s="14" t="s">
        <v>1265</v>
      </c>
      <c r="L122" s="15">
        <v>6.56</v>
      </c>
      <c r="M122" s="15">
        <f t="shared" si="2"/>
        <v>192.94</v>
      </c>
      <c r="N122" s="14" t="str">
        <f>VLOOKUP(A122,[2]Sheet1!$B$4:$F$352,3,0)</f>
        <v>CHS2L</v>
      </c>
      <c r="O122" s="16">
        <f>VLOOKUP(A122,[2]Sheet1!$B$4:$F$352,4,0)</f>
        <v>5</v>
      </c>
      <c r="P122" s="16"/>
      <c r="Q122" s="16">
        <f>VLOOKUP(A122,[2]Sheet1!$B$4:$F$352,4,0)</f>
        <v>5</v>
      </c>
      <c r="R122" s="17">
        <f>VLOOKUP(A122,[1]Sheet1!$A$2:$F$379,3,0)</f>
        <v>13</v>
      </c>
      <c r="S122" s="16">
        <f>VLOOKUP(A122,[1]Sheet1!$A$2:$F$379,4,0)</f>
        <v>21</v>
      </c>
      <c r="T122" s="16">
        <f>VLOOKUP(A122,[1]Sheet1!$A$2:$F$379,5,0)</f>
        <v>858</v>
      </c>
      <c r="U122" s="16" t="str">
        <f>VLOOKUP(A122,[1]Sheet1!$A$2:$F$379,6,0)</f>
        <v>849±1</v>
      </c>
      <c r="V122" s="16"/>
      <c r="W122" s="16"/>
      <c r="X122" s="16"/>
      <c r="Y122" s="18" t="str">
        <f>VLOOKUP(A122,[3]Combi!$A$1:$B$304,2,0)</f>
        <v>SOP/PROD/HOSE/SPS/2/9</v>
      </c>
    </row>
    <row r="123" spans="1:26" s="18" customFormat="1" x14ac:dyDescent="0.25">
      <c r="A123" s="13" t="s">
        <v>1054</v>
      </c>
      <c r="B123" s="14" t="str">
        <f>VLOOKUP(A123,[1]Sheet1!$A$2:$F$379,2,0)</f>
        <v>87246-BZ320-H</v>
      </c>
      <c r="C123" s="14" t="s">
        <v>468</v>
      </c>
      <c r="D123" s="14" t="s">
        <v>1237</v>
      </c>
      <c r="E123" s="15">
        <v>84.55</v>
      </c>
      <c r="F123" s="14"/>
      <c r="G123" s="14"/>
      <c r="H123" s="14"/>
      <c r="I123" s="14"/>
      <c r="J123" s="15">
        <f t="shared" si="3"/>
        <v>84.55</v>
      </c>
      <c r="K123" s="14" t="s">
        <v>1265</v>
      </c>
      <c r="L123" s="15">
        <v>2.98</v>
      </c>
      <c r="M123" s="15">
        <f t="shared" si="2"/>
        <v>87.53</v>
      </c>
      <c r="N123" s="14" t="str">
        <f>VLOOKUP(A123,[2]Sheet1!$B$4:$F$352,3,0)</f>
        <v>CHS2L</v>
      </c>
      <c r="O123" s="16">
        <f>VLOOKUP(A123,[2]Sheet1!$B$4:$F$352,4,0)</f>
        <v>5</v>
      </c>
      <c r="P123" s="16"/>
      <c r="Q123" s="16">
        <f>VLOOKUP(A123,[2]Sheet1!$B$4:$F$352,4,0)</f>
        <v>5</v>
      </c>
      <c r="R123" s="17">
        <f>VLOOKUP(A123,[1]Sheet1!$A$2:$F$379,3,0)</f>
        <v>13</v>
      </c>
      <c r="S123" s="16">
        <f>VLOOKUP(A123,[1]Sheet1!$A$2:$F$379,4,0)</f>
        <v>21</v>
      </c>
      <c r="T123" s="16">
        <f>VLOOKUP(A123,[1]Sheet1!$A$2:$F$379,5,0)</f>
        <v>391</v>
      </c>
      <c r="U123" s="16" t="str">
        <f>VLOOKUP(A123,[1]Sheet1!$A$2:$F$379,6,0)</f>
        <v>384±1</v>
      </c>
      <c r="V123" s="16"/>
      <c r="W123" s="16"/>
      <c r="X123" s="16"/>
      <c r="Y123" s="18" t="str">
        <f>VLOOKUP(A123,[3]Combi!$A$1:$B$304,2,0)</f>
        <v>SOP/PROD/HOSE/SPS/2/9</v>
      </c>
    </row>
    <row r="124" spans="1:26" s="18" customFormat="1" x14ac:dyDescent="0.25">
      <c r="A124" s="13" t="s">
        <v>1063</v>
      </c>
      <c r="B124" s="14" t="str">
        <f>VLOOKUP(A124,[1]Sheet1!$A$2:$F$379,2,0)</f>
        <v>87246-BZ330-H</v>
      </c>
      <c r="C124" s="14" t="s">
        <v>488</v>
      </c>
      <c r="D124" s="14" t="s">
        <v>1237</v>
      </c>
      <c r="E124" s="15">
        <v>103.42</v>
      </c>
      <c r="F124" s="14"/>
      <c r="G124" s="14"/>
      <c r="H124" s="14"/>
      <c r="I124" s="14"/>
      <c r="J124" s="15">
        <f t="shared" si="3"/>
        <v>103.42</v>
      </c>
      <c r="K124" s="14" t="s">
        <v>1265</v>
      </c>
      <c r="L124" s="15">
        <v>3.64</v>
      </c>
      <c r="M124" s="15">
        <f t="shared" si="2"/>
        <v>107.06</v>
      </c>
      <c r="N124" s="14" t="str">
        <f>VLOOKUP(A124,[2]Sheet1!$B$4:$F$352,3,0)</f>
        <v>CHS2L</v>
      </c>
      <c r="O124" s="16">
        <f>VLOOKUP(A124,[2]Sheet1!$B$4:$F$352,4,0)</f>
        <v>7</v>
      </c>
      <c r="P124" s="16"/>
      <c r="Q124" s="16">
        <f>VLOOKUP(A124,[2]Sheet1!$B$4:$F$352,4,0)</f>
        <v>7</v>
      </c>
      <c r="R124" s="17">
        <f>VLOOKUP(A124,[1]Sheet1!$A$2:$F$379,3,0)</f>
        <v>13</v>
      </c>
      <c r="S124" s="16">
        <f>VLOOKUP(A124,[1]Sheet1!$A$2:$F$379,4,0)</f>
        <v>21</v>
      </c>
      <c r="T124" s="16">
        <f>VLOOKUP(A124,[1]Sheet1!$A$2:$F$379,5,0)</f>
        <v>461</v>
      </c>
      <c r="U124" s="16" t="str">
        <f>VLOOKUP(A124,[1]Sheet1!$A$2:$F$379,6,0)</f>
        <v>454±1</v>
      </c>
      <c r="V124" s="16"/>
      <c r="W124" s="16"/>
      <c r="X124" s="16"/>
      <c r="Y124" s="18" t="str">
        <f>VLOOKUP(A124,[3]Combi!$A$1:$B$304,2,0)</f>
        <v>SOP/PROD/HOSE/SPS/2/9</v>
      </c>
    </row>
    <row r="125" spans="1:26" s="18" customFormat="1" x14ac:dyDescent="0.25">
      <c r="A125" s="13" t="s">
        <v>1070</v>
      </c>
      <c r="B125" s="14" t="str">
        <f>VLOOKUP(A125,[1]Sheet1!$A$2:$F$379,2,0)</f>
        <v>87246-BZ350-H</v>
      </c>
      <c r="C125" s="14" t="s">
        <v>504</v>
      </c>
      <c r="D125" s="14" t="s">
        <v>1237</v>
      </c>
      <c r="E125" s="15">
        <v>127.97</v>
      </c>
      <c r="F125" s="14"/>
      <c r="G125" s="14"/>
      <c r="H125" s="14"/>
      <c r="I125" s="14"/>
      <c r="J125" s="15">
        <f t="shared" si="3"/>
        <v>127.97</v>
      </c>
      <c r="K125" s="14" t="s">
        <v>1265</v>
      </c>
      <c r="L125" s="15">
        <v>4.5</v>
      </c>
      <c r="M125" s="15">
        <f t="shared" si="2"/>
        <v>132.47</v>
      </c>
      <c r="N125" s="14" t="str">
        <f>VLOOKUP(A125,[2]Sheet1!$B$4:$F$352,3,0)</f>
        <v>CHS2L</v>
      </c>
      <c r="O125" s="16">
        <f>VLOOKUP(A125,[2]Sheet1!$B$4:$F$352,4,0)</f>
        <v>5</v>
      </c>
      <c r="P125" s="16"/>
      <c r="Q125" s="16">
        <f>VLOOKUP(A125,[2]Sheet1!$B$4:$F$352,4,0)</f>
        <v>5</v>
      </c>
      <c r="R125" s="17">
        <f>VLOOKUP(A125,[1]Sheet1!$A$2:$F$379,3,0)</f>
        <v>13</v>
      </c>
      <c r="S125" s="16">
        <f>VLOOKUP(A125,[1]Sheet1!$A$2:$F$379,4,0)</f>
        <v>21</v>
      </c>
      <c r="T125" s="16">
        <f>VLOOKUP(A125,[1]Sheet1!$A$2:$F$379,5,0)</f>
        <v>579</v>
      </c>
      <c r="U125" s="16" t="str">
        <f>VLOOKUP(A125,[1]Sheet1!$A$2:$F$379,6,0)</f>
        <v>570±1</v>
      </c>
      <c r="V125" s="16"/>
      <c r="W125" s="16"/>
      <c r="X125" s="16"/>
      <c r="Y125" s="18" t="e">
        <f>VLOOKUP(A125,[3]Combi!$A$1:$B$304,2,0)</f>
        <v>#N/A</v>
      </c>
      <c r="Z125" s="22" t="s">
        <v>1304</v>
      </c>
    </row>
    <row r="126" spans="1:26" s="18" customFormat="1" x14ac:dyDescent="0.25">
      <c r="A126" s="13" t="s">
        <v>999</v>
      </c>
      <c r="B126" s="14" t="str">
        <f>VLOOKUP(A126,[1]Sheet1!$A$2:$F$379,2,0)</f>
        <v>17341-BZ040-H</v>
      </c>
      <c r="C126" s="14" t="s">
        <v>337</v>
      </c>
      <c r="D126" s="14" t="s">
        <v>1224</v>
      </c>
      <c r="E126" s="15">
        <v>23.55</v>
      </c>
      <c r="F126" s="14" t="s">
        <v>1225</v>
      </c>
      <c r="G126" s="15">
        <v>20.260000000000002</v>
      </c>
      <c r="H126" s="14" t="s">
        <v>1226</v>
      </c>
      <c r="I126" s="15">
        <v>52.41</v>
      </c>
      <c r="J126" s="15">
        <f t="shared" si="3"/>
        <v>96.22</v>
      </c>
      <c r="K126" s="14" t="s">
        <v>1264</v>
      </c>
      <c r="L126" s="15">
        <v>2.54</v>
      </c>
      <c r="M126" s="15">
        <f t="shared" si="2"/>
        <v>98.759999999999991</v>
      </c>
      <c r="N126" s="14" t="str">
        <f>VLOOKUP(A126,[2]Sheet1!$B$4:$F$352,3,0)</f>
        <v>CHS3L</v>
      </c>
      <c r="O126" s="16">
        <f>VLOOKUP(A126,[2]Sheet1!$B$4:$F$352,4,0)</f>
        <v>1</v>
      </c>
      <c r="P126" s="16"/>
      <c r="Q126" s="16">
        <f>VLOOKUP(A126,[2]Sheet1!$B$4:$F$352,4,0)</f>
        <v>1</v>
      </c>
      <c r="R126" s="17">
        <f>VLOOKUP(A126,[1]Sheet1!$A$2:$F$379,3,0)</f>
        <v>7.5</v>
      </c>
      <c r="S126" s="16">
        <f>VLOOKUP(A126,[1]Sheet1!$A$2:$F$379,4,0)</f>
        <v>16</v>
      </c>
      <c r="T126" s="16">
        <f>VLOOKUP(A126,[1]Sheet1!$A$2:$F$379,5,0)</f>
        <v>490</v>
      </c>
      <c r="U126" s="16" t="str">
        <f>VLOOKUP(A126,[1]Sheet1!$A$2:$F$379,6,0)</f>
        <v>462±2</v>
      </c>
      <c r="V126" s="16"/>
      <c r="W126" s="16"/>
      <c r="X126" s="16"/>
      <c r="Y126" s="18" t="str">
        <f>VLOOKUP(A126,[3]Combi!$A$1:$B$304,2,0)</f>
        <v>SOP/PROD/HOSE/SPS/3/2</v>
      </c>
    </row>
    <row r="127" spans="1:26" s="18" customFormat="1" x14ac:dyDescent="0.25">
      <c r="A127" s="13" t="s">
        <v>1023</v>
      </c>
      <c r="B127" s="14" t="str">
        <f>VLOOKUP(A127,[1]Sheet1!$A$2:$F$379,2,0)</f>
        <v>87246-BZ370-H</v>
      </c>
      <c r="C127" s="14" t="s">
        <v>398</v>
      </c>
      <c r="D127" s="14" t="s">
        <v>1237</v>
      </c>
      <c r="E127" s="15">
        <v>136.38</v>
      </c>
      <c r="F127" s="14"/>
      <c r="G127" s="14"/>
      <c r="H127" s="14"/>
      <c r="I127" s="14"/>
      <c r="J127" s="15">
        <f t="shared" si="3"/>
        <v>136.38</v>
      </c>
      <c r="K127" s="14" t="s">
        <v>1265</v>
      </c>
      <c r="L127" s="15">
        <v>4.8</v>
      </c>
      <c r="M127" s="15">
        <f t="shared" si="2"/>
        <v>141.18</v>
      </c>
      <c r="N127" s="14" t="str">
        <f>VLOOKUP(A127,[2]Sheet1!$B$4:$F$352,3,0)</f>
        <v>CHS2L</v>
      </c>
      <c r="O127" s="16">
        <f>VLOOKUP(A127,[2]Sheet1!$B$4:$F$352,4,0)</f>
        <v>0</v>
      </c>
      <c r="P127" s="16"/>
      <c r="Q127" s="16">
        <f>VLOOKUP(A127,[2]Sheet1!$B$4:$F$352,4,0)</f>
        <v>0</v>
      </c>
      <c r="R127" s="17">
        <f>VLOOKUP(A127,[1]Sheet1!$A$2:$F$379,3,0)</f>
        <v>13</v>
      </c>
      <c r="S127" s="16">
        <f>VLOOKUP(A127,[1]Sheet1!$A$2:$F$379,4,0)</f>
        <v>21</v>
      </c>
      <c r="T127" s="16">
        <f>VLOOKUP(A127,[1]Sheet1!$A$2:$F$379,5,0)</f>
        <v>568</v>
      </c>
      <c r="U127" s="16" t="str">
        <f>VLOOKUP(A127,[1]Sheet1!$A$2:$F$379,6,0)</f>
        <v>563±1</v>
      </c>
      <c r="V127" s="16"/>
      <c r="W127" s="16"/>
      <c r="X127" s="16"/>
      <c r="Y127" s="18" t="str">
        <f>VLOOKUP(A127,[3]Combi!$A$1:$B$304,2,0)</f>
        <v>SOP/PROD/HOSE/SPS/2/9</v>
      </c>
    </row>
    <row r="128" spans="1:26" s="18" customFormat="1" x14ac:dyDescent="0.25">
      <c r="A128" s="13" t="s">
        <v>1026</v>
      </c>
      <c r="B128" s="14" t="str">
        <f>VLOOKUP(A128,[1]Sheet1!$A$2:$F$379,2,0)</f>
        <v>16572-BZ420-H</v>
      </c>
      <c r="C128" s="14" t="s">
        <v>404</v>
      </c>
      <c r="D128" s="14" t="s">
        <v>1237</v>
      </c>
      <c r="E128" s="15">
        <v>288.45999999999998</v>
      </c>
      <c r="F128" s="14"/>
      <c r="G128" s="14"/>
      <c r="H128" s="14"/>
      <c r="I128" s="14"/>
      <c r="J128" s="15">
        <f t="shared" si="3"/>
        <v>288.45999999999998</v>
      </c>
      <c r="K128" s="14" t="s">
        <v>1266</v>
      </c>
      <c r="L128" s="15">
        <v>12</v>
      </c>
      <c r="M128" s="15">
        <f t="shared" si="2"/>
        <v>300.45999999999998</v>
      </c>
      <c r="N128" s="14" t="str">
        <f>VLOOKUP(A128,[2]Sheet1!$B$4:$F$352,3,0)</f>
        <v>CHS2L</v>
      </c>
      <c r="O128" s="16">
        <f>VLOOKUP(A128,[2]Sheet1!$B$4:$F$352,4,0)</f>
        <v>5</v>
      </c>
      <c r="P128" s="16"/>
      <c r="Q128" s="16">
        <f>VLOOKUP(A128,[2]Sheet1!$B$4:$F$352,4,0)</f>
        <v>5</v>
      </c>
      <c r="R128" s="17">
        <f>VLOOKUP(A128,[1]Sheet1!$A$2:$F$379,3,0)</f>
        <v>26.5</v>
      </c>
      <c r="S128" s="16">
        <f>VLOOKUP(A128,[1]Sheet1!$A$2:$F$379,4,0)</f>
        <v>34.5</v>
      </c>
      <c r="T128" s="16">
        <f>VLOOKUP(A128,[1]Sheet1!$A$2:$F$379,5,0)</f>
        <v>680</v>
      </c>
      <c r="U128" s="16" t="str">
        <f>VLOOKUP(A128,[1]Sheet1!$A$2:$F$379,6,0)</f>
        <v>670±1</v>
      </c>
      <c r="V128" s="16"/>
      <c r="W128" s="16"/>
      <c r="X128" s="16"/>
      <c r="Y128" s="18" t="str">
        <f>VLOOKUP(A128,[3]Combi!$A$1:$B$304,2,0)</f>
        <v>SOP/PROD/HOSE/SPS/2/15</v>
      </c>
    </row>
    <row r="129" spans="1:26" s="18" customFormat="1" x14ac:dyDescent="0.25">
      <c r="A129" s="13" t="s">
        <v>1027</v>
      </c>
      <c r="B129" s="14" t="str">
        <f>VLOOKUP(A129,[1]Sheet1!$A$2:$F$379,2,0)</f>
        <v>87245-BZ430-H</v>
      </c>
      <c r="C129" s="14" t="s">
        <v>406</v>
      </c>
      <c r="D129" s="14" t="s">
        <v>1237</v>
      </c>
      <c r="E129" s="15">
        <v>89.33</v>
      </c>
      <c r="F129" s="14"/>
      <c r="G129" s="14"/>
      <c r="H129" s="14"/>
      <c r="I129" s="14"/>
      <c r="J129" s="15">
        <f t="shared" si="3"/>
        <v>89.33</v>
      </c>
      <c r="K129" s="14" t="s">
        <v>1265</v>
      </c>
      <c r="L129" s="15">
        <v>3.14</v>
      </c>
      <c r="M129" s="15">
        <f t="shared" si="2"/>
        <v>92.47</v>
      </c>
      <c r="N129" s="14" t="str">
        <f>VLOOKUP(A129,[2]Sheet1!$B$4:$F$352,3,0)</f>
        <v>CHS2L</v>
      </c>
      <c r="O129" s="16">
        <f>VLOOKUP(A129,[2]Sheet1!$B$4:$F$352,4,0)</f>
        <v>0</v>
      </c>
      <c r="P129" s="16"/>
      <c r="Q129" s="16">
        <f>VLOOKUP(A129,[2]Sheet1!$B$4:$F$352,4,0)</f>
        <v>0</v>
      </c>
      <c r="R129" s="17">
        <f>VLOOKUP(A129,[1]Sheet1!$A$2:$F$379,3,0)</f>
        <v>13</v>
      </c>
      <c r="S129" s="16">
        <f>VLOOKUP(A129,[1]Sheet1!$A$2:$F$379,4,0)</f>
        <v>21</v>
      </c>
      <c r="T129" s="16">
        <f>VLOOKUP(A129,[1]Sheet1!$A$2:$F$379,5,0)</f>
        <v>400</v>
      </c>
      <c r="U129" s="16" t="str">
        <f>VLOOKUP(A129,[1]Sheet1!$A$2:$F$379,6,0)</f>
        <v>395±1</v>
      </c>
      <c r="V129" s="16"/>
      <c r="W129" s="16"/>
      <c r="X129" s="16"/>
      <c r="Y129" s="18" t="str">
        <f>VLOOKUP(A129,[3]Combi!$A$1:$B$304,2,0)</f>
        <v>SOP/PROD/HOSE/SPS/2/9</v>
      </c>
    </row>
    <row r="130" spans="1:26" s="18" customFormat="1" x14ac:dyDescent="0.25">
      <c r="A130" s="13" t="s">
        <v>967</v>
      </c>
      <c r="B130" s="14" t="str">
        <f>VLOOKUP(A130,[1]Sheet1!$A$2:$F$379,2,0)</f>
        <v>87245-BZ30-H</v>
      </c>
      <c r="C130" s="14" t="s">
        <v>260</v>
      </c>
      <c r="D130" s="14" t="s">
        <v>1237</v>
      </c>
      <c r="E130" s="15">
        <v>275.08</v>
      </c>
      <c r="F130" s="14"/>
      <c r="G130" s="14"/>
      <c r="H130" s="14"/>
      <c r="I130" s="14"/>
      <c r="J130" s="15">
        <f t="shared" si="3"/>
        <v>275.08</v>
      </c>
      <c r="K130" s="14" t="s">
        <v>1266</v>
      </c>
      <c r="L130" s="15">
        <v>11.3</v>
      </c>
      <c r="M130" s="15">
        <f t="shared" ref="M130:M193" si="4">SUM(L130,I130,G130,E130)</f>
        <v>286.38</v>
      </c>
      <c r="N130" s="14" t="str">
        <f>VLOOKUP(A130,[2]Sheet1!$B$4:$F$352,3,0)</f>
        <v>CHS2L</v>
      </c>
      <c r="O130" s="16">
        <f>VLOOKUP(A130,[2]Sheet1!$B$4:$F$352,4,0)</f>
        <v>4</v>
      </c>
      <c r="P130" s="16"/>
      <c r="Q130" s="16">
        <f>VLOOKUP(A130,[2]Sheet1!$B$4:$F$352,4,0)</f>
        <v>4</v>
      </c>
      <c r="R130" s="17">
        <f>VLOOKUP(A130,[1]Sheet1!$A$2:$F$379,3,0)</f>
        <v>26.5</v>
      </c>
      <c r="S130" s="16">
        <f>VLOOKUP(A130,[1]Sheet1!$A$2:$F$379,4,0)</f>
        <v>34.5</v>
      </c>
      <c r="T130" s="16">
        <f>VLOOKUP(A130,[1]Sheet1!$A$2:$F$379,5,0)</f>
        <v>640</v>
      </c>
      <c r="U130" s="16" t="str">
        <f>VLOOKUP(A130,[1]Sheet1!$A$2:$F$379,6,0)</f>
        <v>638±1</v>
      </c>
      <c r="V130" s="16"/>
      <c r="W130" s="16"/>
      <c r="X130" s="16"/>
      <c r="Y130" s="18" t="str">
        <f>VLOOKUP(A130,[3]Combi!$A$1:$B$304,2,0)</f>
        <v>SOP/PROD/HOSE/SPS/2/15</v>
      </c>
    </row>
    <row r="131" spans="1:26" s="18" customFormat="1" x14ac:dyDescent="0.25">
      <c r="A131" s="13" t="s">
        <v>1038</v>
      </c>
      <c r="B131" s="14" t="str">
        <f>VLOOKUP(A131,[1]Sheet1!$A$2:$F$379,2,0)</f>
        <v>87245-BZ450-H</v>
      </c>
      <c r="C131" s="14" t="s">
        <v>434</v>
      </c>
      <c r="D131" s="14" t="s">
        <v>1237</v>
      </c>
      <c r="E131" s="15">
        <v>93.87</v>
      </c>
      <c r="F131" s="14"/>
      <c r="G131" s="14"/>
      <c r="H131" s="14"/>
      <c r="I131" s="14"/>
      <c r="J131" s="15">
        <f t="shared" ref="J131:J194" si="5">E131+G131+I131</f>
        <v>93.87</v>
      </c>
      <c r="K131" s="14" t="s">
        <v>1265</v>
      </c>
      <c r="L131" s="15">
        <v>3.3</v>
      </c>
      <c r="M131" s="15">
        <f t="shared" si="4"/>
        <v>97.17</v>
      </c>
      <c r="N131" s="14" t="str">
        <f>VLOOKUP(A131,[2]Sheet1!$B$4:$F$352,3,0)</f>
        <v>CHS2L</v>
      </c>
      <c r="O131" s="16">
        <f>VLOOKUP(A131,[2]Sheet1!$B$4:$F$352,4,0)</f>
        <v>4</v>
      </c>
      <c r="P131" s="16"/>
      <c r="Q131" s="16">
        <f>VLOOKUP(A131,[2]Sheet1!$B$4:$F$352,4,0)</f>
        <v>4</v>
      </c>
      <c r="R131" s="17">
        <f>VLOOKUP(A131,[1]Sheet1!$A$2:$F$379,3,0)</f>
        <v>13</v>
      </c>
      <c r="S131" s="16">
        <f>VLOOKUP(A131,[1]Sheet1!$A$2:$F$379,4,0)</f>
        <v>21</v>
      </c>
      <c r="T131" s="16">
        <f>VLOOKUP(A131,[1]Sheet1!$A$2:$F$379,5,0)</f>
        <v>404</v>
      </c>
      <c r="U131" s="16" t="str">
        <f>VLOOKUP(A131,[1]Sheet1!$A$2:$F$379,6,0)</f>
        <v>401±1</v>
      </c>
      <c r="V131" s="16"/>
      <c r="W131" s="16"/>
      <c r="X131" s="16"/>
      <c r="Y131" s="18" t="str">
        <f>VLOOKUP(A131,[3]Combi!$A$1:$B$304,2,0)</f>
        <v>SOP/PROD/HOSE/SPS/2/9</v>
      </c>
    </row>
    <row r="132" spans="1:26" s="18" customFormat="1" x14ac:dyDescent="0.25">
      <c r="A132" s="13" t="s">
        <v>962</v>
      </c>
      <c r="B132" s="14" t="str">
        <f>VLOOKUP(A132,[1]Sheet1!$A$2:$F$379,2,0)</f>
        <v>87246-BZ390H</v>
      </c>
      <c r="C132" s="14" t="s">
        <v>250</v>
      </c>
      <c r="D132" s="14" t="s">
        <v>1237</v>
      </c>
      <c r="E132" s="15">
        <v>83.87</v>
      </c>
      <c r="F132" s="14"/>
      <c r="G132" s="14"/>
      <c r="H132" s="14"/>
      <c r="I132" s="14"/>
      <c r="J132" s="15">
        <f t="shared" si="5"/>
        <v>83.87</v>
      </c>
      <c r="K132" s="14" t="s">
        <v>1265</v>
      </c>
      <c r="L132" s="15">
        <v>3.3</v>
      </c>
      <c r="M132" s="15">
        <f t="shared" si="4"/>
        <v>87.17</v>
      </c>
      <c r="N132" s="14" t="str">
        <f>VLOOKUP(A132,[2]Sheet1!$B$4:$F$352,3,0)</f>
        <v>CHS2L</v>
      </c>
      <c r="O132" s="16">
        <f>VLOOKUP(A132,[2]Sheet1!$B$4:$F$352,4,0)</f>
        <v>4</v>
      </c>
      <c r="P132" s="16"/>
      <c r="Q132" s="16">
        <f>VLOOKUP(A132,[2]Sheet1!$B$4:$F$352,4,0)</f>
        <v>4</v>
      </c>
      <c r="R132" s="17">
        <f>VLOOKUP(A132,[1]Sheet1!$A$2:$F$379,3,0)</f>
        <v>13</v>
      </c>
      <c r="S132" s="16">
        <f>VLOOKUP(A132,[1]Sheet1!$A$2:$F$379,4,0)</f>
        <v>21</v>
      </c>
      <c r="T132" s="16">
        <f>VLOOKUP(A132,[1]Sheet1!$A$2:$F$379,5,0)</f>
        <v>615</v>
      </c>
      <c r="U132" s="16" t="str">
        <f>VLOOKUP(A132,[1]Sheet1!$A$2:$F$379,6,0)</f>
        <v>612±1</v>
      </c>
      <c r="V132" s="16"/>
      <c r="W132" s="16"/>
      <c r="X132" s="16"/>
      <c r="Y132" s="18" t="str">
        <f>VLOOKUP(A132,[3]Combi!$A$1:$B$304,2,0)</f>
        <v>SOP/PROD/HOSE/SPS/2/9</v>
      </c>
    </row>
    <row r="133" spans="1:26" s="18" customFormat="1" x14ac:dyDescent="0.25">
      <c r="A133" s="13" t="s">
        <v>1193</v>
      </c>
      <c r="B133" s="14" t="str">
        <f>VLOOKUP(A133,[1]Sheet1!$A$2:$F$379,2,0)</f>
        <v>31434-B0041</v>
      </c>
      <c r="C133" s="14" t="s">
        <v>818</v>
      </c>
      <c r="D133" s="14" t="s">
        <v>1238</v>
      </c>
      <c r="E133" s="15">
        <v>102.4</v>
      </c>
      <c r="F133" s="14"/>
      <c r="G133" s="14"/>
      <c r="H133" s="14"/>
      <c r="I133" s="14"/>
      <c r="J133" s="15">
        <f t="shared" si="5"/>
        <v>102.4</v>
      </c>
      <c r="K133" s="14"/>
      <c r="L133" s="14"/>
      <c r="M133" s="15">
        <f t="shared" si="4"/>
        <v>102.4</v>
      </c>
      <c r="N133" s="14" t="e">
        <f>VLOOKUP(A133,[2]Sheet1!$B$4:$F$352,3,0)</f>
        <v>#N/A</v>
      </c>
      <c r="O133" s="16" t="e">
        <f>VLOOKUP(A133,[2]Sheet1!$B$4:$F$352,4,0)</f>
        <v>#N/A</v>
      </c>
      <c r="P133" s="16"/>
      <c r="Q133" s="16" t="e">
        <f>VLOOKUP(A133,[2]Sheet1!$B$4:$F$352,4,0)</f>
        <v>#N/A</v>
      </c>
      <c r="R133" s="17">
        <f>VLOOKUP(A133,[1]Sheet1!$A$2:$F$379,3,0)</f>
        <v>8.5</v>
      </c>
      <c r="S133" s="16">
        <f>VLOOKUP(A133,[1]Sheet1!$A$2:$F$379,4,0)</f>
        <v>16.600000000000001</v>
      </c>
      <c r="T133" s="16" t="str">
        <f>VLOOKUP(A133,[1]Sheet1!$A$2:$F$379,5,0)</f>
        <v>425±2</v>
      </c>
      <c r="U133" s="16">
        <f>VLOOKUP(A133,[1]Sheet1!$A$2:$F$379,6,0)</f>
        <v>0</v>
      </c>
      <c r="V133" s="16"/>
      <c r="W133" s="16"/>
      <c r="X133" s="16"/>
      <c r="Y133" s="18" t="str">
        <f>VLOOKUP(A133,[3]Combi!$A$1:$B$304,2,0)</f>
        <v>SOP/PROD/HOSE/SPS/1/21</v>
      </c>
    </row>
    <row r="134" spans="1:26" s="18" customFormat="1" x14ac:dyDescent="0.25">
      <c r="A134" s="13" t="s">
        <v>1194</v>
      </c>
      <c r="B134" s="14" t="str">
        <f>VLOOKUP(A134,[1]Sheet1!$A$2:$F$379,2,0)</f>
        <v>31434-B0080</v>
      </c>
      <c r="C134" s="14" t="s">
        <v>820</v>
      </c>
      <c r="D134" s="14" t="s">
        <v>1238</v>
      </c>
      <c r="E134" s="15">
        <v>84.46</v>
      </c>
      <c r="F134" s="14"/>
      <c r="G134" s="14"/>
      <c r="H134" s="14"/>
      <c r="I134" s="14"/>
      <c r="J134" s="15">
        <f t="shared" si="5"/>
        <v>84.46</v>
      </c>
      <c r="K134" s="14"/>
      <c r="L134" s="14"/>
      <c r="M134" s="15">
        <f t="shared" si="4"/>
        <v>84.46</v>
      </c>
      <c r="N134" s="14" t="e">
        <f>VLOOKUP(A134,[2]Sheet1!$B$4:$F$352,3,0)</f>
        <v>#N/A</v>
      </c>
      <c r="O134" s="16" t="e">
        <f>VLOOKUP(A134,[2]Sheet1!$B$4:$F$352,4,0)</f>
        <v>#N/A</v>
      </c>
      <c r="P134" s="16"/>
      <c r="Q134" s="16" t="e">
        <f>VLOOKUP(A134,[2]Sheet1!$B$4:$F$352,4,0)</f>
        <v>#N/A</v>
      </c>
      <c r="R134" s="17">
        <f>VLOOKUP(A134,[1]Sheet1!$A$2:$F$379,3,0)</f>
        <v>8.5</v>
      </c>
      <c r="S134" s="16">
        <f>VLOOKUP(A134,[1]Sheet1!$A$2:$F$379,4,0)</f>
        <v>16.600000000000001</v>
      </c>
      <c r="T134" s="16" t="str">
        <f>VLOOKUP(A134,[1]Sheet1!$A$2:$F$379,5,0)</f>
        <v>565±2</v>
      </c>
      <c r="U134" s="16">
        <f>VLOOKUP(A134,[1]Sheet1!$A$2:$F$379,6,0)</f>
        <v>0</v>
      </c>
      <c r="V134" s="16"/>
      <c r="W134" s="16"/>
      <c r="X134" s="16"/>
      <c r="Y134" s="18" t="str">
        <f>VLOOKUP(A134,[3]Combi!$A$1:$B$304,2,0)</f>
        <v>SOP/PROD/HOSE/SPS/1/21</v>
      </c>
    </row>
    <row r="135" spans="1:26" s="18" customFormat="1" x14ac:dyDescent="0.25">
      <c r="A135" s="13" t="s">
        <v>1195</v>
      </c>
      <c r="B135" s="14" t="str">
        <f>VLOOKUP(A135,[1]Sheet1!$A$2:$F$379,2,0)</f>
        <v>31434-B1070</v>
      </c>
      <c r="C135" s="14" t="s">
        <v>822</v>
      </c>
      <c r="D135" s="14" t="s">
        <v>1238</v>
      </c>
      <c r="E135" s="15">
        <v>92.81</v>
      </c>
      <c r="F135" s="14"/>
      <c r="G135" s="14"/>
      <c r="H135" s="14"/>
      <c r="I135" s="14"/>
      <c r="J135" s="15">
        <f t="shared" si="5"/>
        <v>92.81</v>
      </c>
      <c r="K135" s="14"/>
      <c r="L135" s="14"/>
      <c r="M135" s="15">
        <f t="shared" si="4"/>
        <v>92.81</v>
      </c>
      <c r="N135" s="14" t="e">
        <f>VLOOKUP(A135,[2]Sheet1!$B$4:$F$352,3,0)</f>
        <v>#N/A</v>
      </c>
      <c r="O135" s="16" t="e">
        <f>VLOOKUP(A135,[2]Sheet1!$B$4:$F$352,4,0)</f>
        <v>#N/A</v>
      </c>
      <c r="P135" s="16"/>
      <c r="Q135" s="16" t="e">
        <f>VLOOKUP(A135,[2]Sheet1!$B$4:$F$352,4,0)</f>
        <v>#N/A</v>
      </c>
      <c r="R135" s="17">
        <f>VLOOKUP(A135,[1]Sheet1!$A$2:$F$379,3,0)</f>
        <v>8.5</v>
      </c>
      <c r="S135" s="16">
        <f>VLOOKUP(A135,[1]Sheet1!$A$2:$F$379,4,0)</f>
        <v>16.600000000000001</v>
      </c>
      <c r="T135" s="16" t="str">
        <f>VLOOKUP(A135,[1]Sheet1!$A$2:$F$379,5,0)</f>
        <v>470±2</v>
      </c>
      <c r="U135" s="16">
        <f>VLOOKUP(A135,[1]Sheet1!$A$2:$F$379,6,0)</f>
        <v>0</v>
      </c>
      <c r="V135" s="16"/>
      <c r="W135" s="16"/>
      <c r="X135" s="16"/>
      <c r="Y135" s="18" t="str">
        <f>VLOOKUP(A135,[3]Combi!$A$1:$B$304,2,0)</f>
        <v>SOP/PROD/HOSE/SPS/1/21</v>
      </c>
    </row>
    <row r="136" spans="1:26" s="18" customFormat="1" x14ac:dyDescent="0.25">
      <c r="A136" s="13" t="s">
        <v>1196</v>
      </c>
      <c r="B136" s="14" t="str">
        <f>VLOOKUP(A136,[1]Sheet1!$A$2:$F$379,2,0)</f>
        <v>31434-B1090</v>
      </c>
      <c r="C136" s="14" t="s">
        <v>824</v>
      </c>
      <c r="D136" s="14" t="s">
        <v>1238</v>
      </c>
      <c r="E136" s="15">
        <v>92.81</v>
      </c>
      <c r="F136" s="14"/>
      <c r="G136" s="14"/>
      <c r="H136" s="14"/>
      <c r="I136" s="14"/>
      <c r="J136" s="15">
        <f t="shared" si="5"/>
        <v>92.81</v>
      </c>
      <c r="K136" s="14"/>
      <c r="L136" s="14"/>
      <c r="M136" s="15">
        <f t="shared" si="4"/>
        <v>92.81</v>
      </c>
      <c r="N136" s="14" t="e">
        <f>VLOOKUP(A136,[2]Sheet1!$B$4:$F$352,3,0)</f>
        <v>#N/A</v>
      </c>
      <c r="O136" s="16" t="e">
        <f>VLOOKUP(A136,[2]Sheet1!$B$4:$F$352,4,0)</f>
        <v>#N/A</v>
      </c>
      <c r="P136" s="16"/>
      <c r="Q136" s="16" t="e">
        <f>VLOOKUP(A136,[2]Sheet1!$B$4:$F$352,4,0)</f>
        <v>#N/A</v>
      </c>
      <c r="R136" s="17">
        <f>VLOOKUP(A136,[1]Sheet1!$A$2:$F$379,3,0)</f>
        <v>8.5</v>
      </c>
      <c r="S136" s="16">
        <f>VLOOKUP(A136,[1]Sheet1!$A$2:$F$379,4,0)</f>
        <v>16.600000000000001</v>
      </c>
      <c r="T136" s="16" t="str">
        <f>VLOOKUP(A136,[1]Sheet1!$A$2:$F$379,5,0)</f>
        <v>492±2</v>
      </c>
      <c r="U136" s="16">
        <f>VLOOKUP(A136,[1]Sheet1!$A$2:$F$379,6,0)</f>
        <v>0</v>
      </c>
      <c r="V136" s="16"/>
      <c r="W136" s="16"/>
      <c r="X136" s="16"/>
      <c r="Y136" s="18" t="str">
        <f>VLOOKUP(A136,[3]Combi!$A$1:$B$304,2,0)</f>
        <v>SOP/PROD/HOSE/SPS/1/21</v>
      </c>
    </row>
    <row r="137" spans="1:26" s="18" customFormat="1" x14ac:dyDescent="0.25">
      <c r="A137" s="13" t="s">
        <v>1197</v>
      </c>
      <c r="B137" s="14" t="str">
        <f>VLOOKUP(A137,[1]Sheet1!$A$2:$F$379,2,0)</f>
        <v>31434-B5030</v>
      </c>
      <c r="C137" s="14" t="s">
        <v>826</v>
      </c>
      <c r="D137" s="14" t="s">
        <v>1238</v>
      </c>
      <c r="E137" s="15">
        <v>42.35</v>
      </c>
      <c r="F137" s="14"/>
      <c r="G137" s="14"/>
      <c r="H137" s="14"/>
      <c r="I137" s="14"/>
      <c r="J137" s="15">
        <f t="shared" si="5"/>
        <v>42.35</v>
      </c>
      <c r="K137" s="14"/>
      <c r="L137" s="14"/>
      <c r="M137" s="15">
        <f t="shared" si="4"/>
        <v>42.35</v>
      </c>
      <c r="N137" s="14" t="e">
        <f>VLOOKUP(A137,[2]Sheet1!$B$4:$F$352,3,0)</f>
        <v>#N/A</v>
      </c>
      <c r="O137" s="16" t="e">
        <f>VLOOKUP(A137,[2]Sheet1!$B$4:$F$352,4,0)</f>
        <v>#N/A</v>
      </c>
      <c r="P137" s="16"/>
      <c r="Q137" s="16" t="e">
        <f>VLOOKUP(A137,[2]Sheet1!$B$4:$F$352,4,0)</f>
        <v>#N/A</v>
      </c>
      <c r="R137" s="17">
        <f>VLOOKUP(A137,[1]Sheet1!$A$2:$F$379,3,0)</f>
        <v>8.5</v>
      </c>
      <c r="S137" s="16">
        <f>VLOOKUP(A137,[1]Sheet1!$A$2:$F$379,4,0)</f>
        <v>16.600000000000001</v>
      </c>
      <c r="T137" s="16" t="str">
        <f>VLOOKUP(A137,[1]Sheet1!$A$2:$F$379,5,0)</f>
        <v>180±2</v>
      </c>
      <c r="U137" s="16"/>
      <c r="V137" s="16"/>
      <c r="W137" s="16"/>
      <c r="X137" s="16"/>
      <c r="Y137" s="18" t="str">
        <f>VLOOKUP(A137,[3]Combi!$A$1:$B$304,2,0)</f>
        <v>SOP/PROD/HOSE/SPS/1/21</v>
      </c>
    </row>
    <row r="138" spans="1:26" s="18" customFormat="1" x14ac:dyDescent="0.25">
      <c r="A138" s="13" t="s">
        <v>1198</v>
      </c>
      <c r="B138" s="14" t="str">
        <f>VLOOKUP(A138,[1]Sheet1!$A$2:$F$379,2,0)</f>
        <v>31434-B5470</v>
      </c>
      <c r="C138" s="14" t="s">
        <v>828</v>
      </c>
      <c r="D138" s="14" t="s">
        <v>1247</v>
      </c>
      <c r="E138" s="15">
        <v>15.05</v>
      </c>
      <c r="F138" s="14" t="s">
        <v>1230</v>
      </c>
      <c r="G138" s="15">
        <v>3.55</v>
      </c>
      <c r="H138" s="14"/>
      <c r="I138" s="14"/>
      <c r="J138" s="15">
        <f t="shared" si="5"/>
        <v>18.600000000000001</v>
      </c>
      <c r="K138" s="14"/>
      <c r="L138" s="14"/>
      <c r="M138" s="15">
        <f t="shared" si="4"/>
        <v>18.600000000000001</v>
      </c>
      <c r="N138" s="14" t="s">
        <v>1289</v>
      </c>
      <c r="O138" s="16" t="e">
        <f>VLOOKUP(A138,[2]Sheet1!$B$4:$F$352,4,0)</f>
        <v>#N/A</v>
      </c>
      <c r="P138" s="16"/>
      <c r="Q138" s="16" t="e">
        <f>VLOOKUP(A138,[2]Sheet1!$B$4:$F$352,4,0)</f>
        <v>#N/A</v>
      </c>
      <c r="R138" s="17">
        <f>VLOOKUP(A138,[1]Sheet1!$A$2:$F$379,3,0)</f>
        <v>3.5</v>
      </c>
      <c r="S138" s="16">
        <f>VLOOKUP(A138,[1]Sheet1!$A$2:$F$379,4,0)</f>
        <v>7.5</v>
      </c>
      <c r="T138" s="16" t="str">
        <f>VLOOKUP(A138,[1]Sheet1!$A$2:$F$379,5,0)</f>
        <v>340±2</v>
      </c>
      <c r="U138" s="16">
        <f>VLOOKUP(A138,[1]Sheet1!$A$2:$F$379,6,0)</f>
        <v>0</v>
      </c>
      <c r="V138" s="16"/>
      <c r="W138" s="16"/>
      <c r="X138" s="16"/>
      <c r="Y138" s="18" t="e">
        <f>VLOOKUP(A138,[3]Combi!$A$1:$B$304,2,0)</f>
        <v>#N/A</v>
      </c>
      <c r="Z138" s="22" t="s">
        <v>1306</v>
      </c>
    </row>
    <row r="139" spans="1:26" s="18" customFormat="1" x14ac:dyDescent="0.25">
      <c r="A139" s="13" t="s">
        <v>1200</v>
      </c>
      <c r="B139" s="14" t="str">
        <f>VLOOKUP(A139,[1]Sheet1!$A$2:$F$379,2,0)</f>
        <v>87246-BZ300-H</v>
      </c>
      <c r="C139" s="14" t="s">
        <v>832</v>
      </c>
      <c r="D139" s="14" t="s">
        <v>1237</v>
      </c>
      <c r="E139" s="15">
        <v>193.76</v>
      </c>
      <c r="F139" s="14"/>
      <c r="G139" s="14"/>
      <c r="H139" s="14"/>
      <c r="I139" s="14"/>
      <c r="J139" s="15">
        <f t="shared" si="5"/>
        <v>193.76</v>
      </c>
      <c r="K139" s="14" t="s">
        <v>1265</v>
      </c>
      <c r="L139" s="15">
        <v>5.42</v>
      </c>
      <c r="M139" s="15">
        <f t="shared" si="4"/>
        <v>199.17999999999998</v>
      </c>
      <c r="N139" s="14" t="str">
        <f>VLOOKUP(A139,[2]Sheet1!$B$4:$F$352,3,0)</f>
        <v>CHS2L</v>
      </c>
      <c r="O139" s="16">
        <f>VLOOKUP(A139,[2]Sheet1!$B$4:$F$352,4,0)</f>
        <v>5</v>
      </c>
      <c r="P139" s="16"/>
      <c r="Q139" s="16">
        <f>VLOOKUP(A139,[2]Sheet1!$B$4:$F$352,4,0)</f>
        <v>5</v>
      </c>
      <c r="R139" s="17">
        <f>VLOOKUP(A139,[1]Sheet1!$A$2:$F$379,3,0)</f>
        <v>13</v>
      </c>
      <c r="S139" s="16">
        <f>VLOOKUP(A139,[1]Sheet1!$A$2:$F$379,4,0)</f>
        <v>21</v>
      </c>
      <c r="T139" s="16">
        <f>VLOOKUP(A139,[1]Sheet1!$A$2:$F$379,5,0)</f>
        <v>664</v>
      </c>
      <c r="U139" s="16"/>
      <c r="V139" s="16"/>
      <c r="W139" s="16"/>
      <c r="X139" s="16"/>
      <c r="Y139" s="18" t="str">
        <f>VLOOKUP(A139,[3]Combi!$A$1:$B$304,2,0)</f>
        <v>SOP/PROD/HOSE/SPS/2/9</v>
      </c>
    </row>
    <row r="140" spans="1:26" s="18" customFormat="1" x14ac:dyDescent="0.25">
      <c r="A140" s="13" t="s">
        <v>1207</v>
      </c>
      <c r="B140" s="14" t="str">
        <f>VLOOKUP(A140,[1]Sheet1!$A$2:$F$379,2,0)</f>
        <v>87246-BZ450-H</v>
      </c>
      <c r="C140" s="14" t="s">
        <v>846</v>
      </c>
      <c r="D140" s="14" t="s">
        <v>1237</v>
      </c>
      <c r="E140" s="15">
        <v>81.83</v>
      </c>
      <c r="F140" s="14"/>
      <c r="G140" s="14"/>
      <c r="H140" s="14"/>
      <c r="I140" s="14"/>
      <c r="J140" s="15">
        <f t="shared" si="5"/>
        <v>81.83</v>
      </c>
      <c r="K140" s="14" t="s">
        <v>1265</v>
      </c>
      <c r="L140" s="15">
        <v>2.29</v>
      </c>
      <c r="M140" s="15">
        <f t="shared" si="4"/>
        <v>84.12</v>
      </c>
      <c r="N140" s="14" t="str">
        <f>VLOOKUP(A140,[2]Sheet1!$B$4:$F$352,3,0)</f>
        <v>CHS2L</v>
      </c>
      <c r="O140" s="16">
        <f>VLOOKUP(A140,[2]Sheet1!$B$4:$F$352,4,0)</f>
        <v>5</v>
      </c>
      <c r="P140" s="16"/>
      <c r="Q140" s="16">
        <f>VLOOKUP(A140,[2]Sheet1!$B$4:$F$352,4,0)</f>
        <v>5</v>
      </c>
      <c r="R140" s="17">
        <f>VLOOKUP(A140,[1]Sheet1!$A$2:$F$379,3,0)</f>
        <v>13</v>
      </c>
      <c r="S140" s="16">
        <f>VLOOKUP(A140,[1]Sheet1!$A$2:$F$379,4,0)</f>
        <v>21</v>
      </c>
      <c r="T140" s="16">
        <f>VLOOKUP(A140,[1]Sheet1!$A$2:$F$379,5,0)</f>
        <v>259</v>
      </c>
      <c r="U140" s="16" t="str">
        <f>VLOOKUP(A140,[1]Sheet1!$A$2:$F$379,6,0)</f>
        <v>255±1</v>
      </c>
      <c r="V140" s="16"/>
      <c r="W140" s="16"/>
      <c r="X140" s="16"/>
      <c r="Y140" s="18" t="str">
        <f>VLOOKUP(A140,[3]Combi!$A$1:$B$304,2,0)</f>
        <v>SOP/PROD/HOSE/SPS/2/9</v>
      </c>
    </row>
    <row r="141" spans="1:26" s="18" customFormat="1" x14ac:dyDescent="0.25">
      <c r="A141" s="13" t="s">
        <v>1208</v>
      </c>
      <c r="B141" s="14" t="str">
        <f>VLOOKUP(A141,[1]Sheet1!$A$2:$F$379,2,0)</f>
        <v>87246-BZ460-H</v>
      </c>
      <c r="C141" s="14" t="s">
        <v>848</v>
      </c>
      <c r="D141" s="14" t="s">
        <v>1237</v>
      </c>
      <c r="E141" s="15">
        <v>192.31</v>
      </c>
      <c r="F141" s="14"/>
      <c r="G141" s="14"/>
      <c r="H141" s="14"/>
      <c r="I141" s="14"/>
      <c r="J141" s="15">
        <f t="shared" si="5"/>
        <v>192.31</v>
      </c>
      <c r="K141" s="14" t="s">
        <v>1265</v>
      </c>
      <c r="L141" s="15">
        <v>5.38</v>
      </c>
      <c r="M141" s="15">
        <f t="shared" si="4"/>
        <v>197.69</v>
      </c>
      <c r="N141" s="14" t="str">
        <f>VLOOKUP(A141,[2]Sheet1!$B$4:$F$352,3,0)</f>
        <v>CHS2L</v>
      </c>
      <c r="O141" s="16">
        <f>VLOOKUP(A141,[2]Sheet1!$B$4:$F$352,4,0)</f>
        <v>4</v>
      </c>
      <c r="P141" s="16"/>
      <c r="Q141" s="16">
        <f>VLOOKUP(A141,[2]Sheet1!$B$4:$F$352,4,0)</f>
        <v>4</v>
      </c>
      <c r="R141" s="17">
        <f>VLOOKUP(A141,[1]Sheet1!$A$2:$F$379,3,0)</f>
        <v>13</v>
      </c>
      <c r="S141" s="16">
        <f>VLOOKUP(A141,[1]Sheet1!$A$2:$F$379,4,0)</f>
        <v>21</v>
      </c>
      <c r="T141" s="16">
        <f>VLOOKUP(A141,[1]Sheet1!$A$2:$F$379,5,0)</f>
        <v>531</v>
      </c>
      <c r="U141" s="16"/>
      <c r="V141" s="16"/>
      <c r="W141" s="16"/>
      <c r="X141" s="16"/>
      <c r="Y141" s="18" t="str">
        <f>VLOOKUP(A141,[3]Combi!$A$1:$B$304,2,0)</f>
        <v>SOP/PROD/HOSE/SPS/2/9</v>
      </c>
    </row>
    <row r="142" spans="1:26" s="18" customFormat="1" x14ac:dyDescent="0.25">
      <c r="A142" s="13" t="s">
        <v>1206</v>
      </c>
      <c r="B142" s="14" t="str">
        <f>VLOOKUP(A142,[1]Sheet1!$A$2:$F$379,2,0)</f>
        <v>87245-BZ360-H</v>
      </c>
      <c r="C142" s="14" t="s">
        <v>844</v>
      </c>
      <c r="D142" s="14" t="s">
        <v>1237</v>
      </c>
      <c r="E142" s="15">
        <v>180.54</v>
      </c>
      <c r="F142" s="14"/>
      <c r="G142" s="14"/>
      <c r="H142" s="14"/>
      <c r="I142" s="14"/>
      <c r="J142" s="15">
        <f t="shared" si="5"/>
        <v>180.54</v>
      </c>
      <c r="K142" s="14" t="s">
        <v>1265</v>
      </c>
      <c r="L142" s="15">
        <v>5.05</v>
      </c>
      <c r="M142" s="15">
        <f t="shared" si="4"/>
        <v>185.59</v>
      </c>
      <c r="N142" s="14" t="str">
        <f>VLOOKUP(A142,[2]Sheet1!$B$4:$F$352,3,0)</f>
        <v>CHS2L</v>
      </c>
      <c r="O142" s="16">
        <f>VLOOKUP(A142,[2]Sheet1!$B$4:$F$352,4,0)</f>
        <v>0</v>
      </c>
      <c r="P142" s="16"/>
      <c r="Q142" s="16">
        <f>VLOOKUP(A142,[2]Sheet1!$B$4:$F$352,4,0)</f>
        <v>0</v>
      </c>
      <c r="R142" s="17">
        <f>VLOOKUP(A142,[1]Sheet1!$A$2:$F$379,3,0)</f>
        <v>13</v>
      </c>
      <c r="S142" s="16">
        <f>VLOOKUP(A142,[1]Sheet1!$A$2:$F$379,4,0)</f>
        <v>21</v>
      </c>
      <c r="T142" s="16">
        <f>VLOOKUP(A142,[1]Sheet1!$A$2:$F$379,5,0)</f>
        <v>614</v>
      </c>
      <c r="U142" s="16"/>
      <c r="V142" s="16"/>
      <c r="W142" s="16"/>
      <c r="X142" s="16"/>
      <c r="Y142" s="18" t="str">
        <f>VLOOKUP(A142,[3]Combi!$A$1:$B$304,2,0)</f>
        <v>SOP/PROD/HOSE/SPS/2/9</v>
      </c>
    </row>
    <row r="143" spans="1:26" s="18" customFormat="1" x14ac:dyDescent="0.25">
      <c r="A143" s="13" t="s">
        <v>1199</v>
      </c>
      <c r="B143" s="14" t="str">
        <f>VLOOKUP(A143,[1]Sheet1!$A$2:$F$379,2,0)</f>
        <v>17294-B1050</v>
      </c>
      <c r="C143" s="14" t="s">
        <v>830</v>
      </c>
      <c r="D143" s="14" t="s">
        <v>1247</v>
      </c>
      <c r="E143" s="15">
        <v>7.92</v>
      </c>
      <c r="F143" s="14" t="s">
        <v>1230</v>
      </c>
      <c r="G143" s="15">
        <v>1.87</v>
      </c>
      <c r="H143" s="14"/>
      <c r="I143" s="14"/>
      <c r="J143" s="15">
        <f t="shared" si="5"/>
        <v>9.7899999999999991</v>
      </c>
      <c r="K143" s="14"/>
      <c r="L143" s="14"/>
      <c r="M143" s="15">
        <f t="shared" si="4"/>
        <v>9.7899999999999991</v>
      </c>
      <c r="N143" s="14" t="str">
        <f>VLOOKUP(A143,[2]Sheet1!$B$4:$F$352,3,0)</f>
        <v>DL1</v>
      </c>
      <c r="O143" s="16">
        <f>VLOOKUP(A143,[2]Sheet1!$B$4:$F$352,4,0)</f>
        <v>5</v>
      </c>
      <c r="P143" s="16"/>
      <c r="Q143" s="16">
        <f>VLOOKUP(A143,[2]Sheet1!$B$4:$F$352,4,0)</f>
        <v>5</v>
      </c>
      <c r="R143" s="17">
        <f>VLOOKUP(A143,[1]Sheet1!$A$2:$F$379,3,0)</f>
        <v>3.5</v>
      </c>
      <c r="S143" s="16">
        <f>VLOOKUP(A143,[1]Sheet1!$A$2:$F$379,4,0)</f>
        <v>8.5</v>
      </c>
      <c r="T143" s="16" t="str">
        <f>VLOOKUP(A143,[1]Sheet1!$A$2:$F$379,5,0)</f>
        <v>185±2</v>
      </c>
      <c r="U143" s="16"/>
      <c r="V143" s="16"/>
      <c r="W143" s="16"/>
      <c r="X143" s="16"/>
      <c r="Y143" s="18" t="str">
        <f>VLOOKUP(A143,[3]Combi!$A$1:$B$304,2,0)</f>
        <v>SOP/PROD/HOSE/SPS/1/18</v>
      </c>
    </row>
    <row r="144" spans="1:26" s="18" customFormat="1" x14ac:dyDescent="0.25">
      <c r="A144" s="13" t="s">
        <v>1202</v>
      </c>
      <c r="B144" s="14" t="str">
        <f>VLOOKUP(A144,[1]Sheet1!$A$2:$F$379,2,0)</f>
        <v>17294-B1070</v>
      </c>
      <c r="C144" s="14" t="s">
        <v>836</v>
      </c>
      <c r="D144" s="14" t="s">
        <v>1247</v>
      </c>
      <c r="E144" s="15">
        <v>11.66</v>
      </c>
      <c r="F144" s="14" t="s">
        <v>1230</v>
      </c>
      <c r="G144" s="15">
        <v>2.75</v>
      </c>
      <c r="H144" s="14"/>
      <c r="I144" s="14"/>
      <c r="J144" s="15">
        <f t="shared" si="5"/>
        <v>14.41</v>
      </c>
      <c r="K144" s="14"/>
      <c r="L144" s="14"/>
      <c r="M144" s="15">
        <f t="shared" si="4"/>
        <v>14.41</v>
      </c>
      <c r="N144" s="14" t="str">
        <f>VLOOKUP(A144,[2]Sheet1!$B$4:$F$352,3,0)</f>
        <v>DL1</v>
      </c>
      <c r="O144" s="16">
        <f>VLOOKUP(A144,[2]Sheet1!$B$4:$F$352,4,0)</f>
        <v>5</v>
      </c>
      <c r="P144" s="16"/>
      <c r="Q144" s="16">
        <f>VLOOKUP(A144,[2]Sheet1!$B$4:$F$352,4,0)</f>
        <v>5</v>
      </c>
      <c r="R144" s="17">
        <f>VLOOKUP(A144,[1]Sheet1!$A$2:$F$379,3,0)</f>
        <v>3.5</v>
      </c>
      <c r="S144" s="16">
        <f>VLOOKUP(A144,[1]Sheet1!$A$2:$F$379,4,0)</f>
        <v>8.5</v>
      </c>
      <c r="T144" s="16" t="str">
        <f>VLOOKUP(A144,[1]Sheet1!$A$2:$F$379,5,0)</f>
        <v>270±2</v>
      </c>
      <c r="U144" s="16">
        <f>VLOOKUP(A144,[1]Sheet1!$A$2:$F$379,6,0)</f>
        <v>0</v>
      </c>
      <c r="V144" s="16"/>
      <c r="W144" s="16"/>
      <c r="X144" s="16"/>
      <c r="Y144" s="18" t="str">
        <f>VLOOKUP(A144,[3]Combi!$A$1:$B$304,2,0)</f>
        <v>SOP/PROD/HOSE/SPS/1/18</v>
      </c>
    </row>
    <row r="145" spans="1:26" s="18" customFormat="1" x14ac:dyDescent="0.25">
      <c r="A145" s="13" t="s">
        <v>1210</v>
      </c>
      <c r="B145" s="14" t="str">
        <f>VLOOKUP(A145,[1]Sheet1!$A$2:$F$379,2,0)</f>
        <v>16264-BZ400-H</v>
      </c>
      <c r="C145" s="14" t="s">
        <v>855</v>
      </c>
      <c r="D145" s="14" t="s">
        <v>1237</v>
      </c>
      <c r="E145" s="15">
        <v>83.42</v>
      </c>
      <c r="F145" s="14"/>
      <c r="G145" s="14"/>
      <c r="H145" s="14"/>
      <c r="I145" s="14"/>
      <c r="J145" s="15">
        <f t="shared" si="5"/>
        <v>83.42</v>
      </c>
      <c r="K145" s="14" t="s">
        <v>1265</v>
      </c>
      <c r="L145" s="15">
        <v>2.94</v>
      </c>
      <c r="M145" s="15">
        <f t="shared" si="4"/>
        <v>86.36</v>
      </c>
      <c r="N145" s="14" t="str">
        <f>VLOOKUP(A145,[2]Sheet1!$B$4:$F$352,3,0)</f>
        <v>CHS2L</v>
      </c>
      <c r="O145" s="16">
        <f>VLOOKUP(A145,[2]Sheet1!$B$4:$F$352,4,0)</f>
        <v>0</v>
      </c>
      <c r="P145" s="16"/>
      <c r="Q145" s="16">
        <f>VLOOKUP(A145,[2]Sheet1!$B$4:$F$352,4,0)</f>
        <v>0</v>
      </c>
      <c r="R145" s="17">
        <f>VLOOKUP(A145,[1]Sheet1!$A$2:$F$379,3,0)</f>
        <v>13</v>
      </c>
      <c r="S145" s="16">
        <f>VLOOKUP(A145,[1]Sheet1!$A$2:$F$379,4,0)</f>
        <v>21</v>
      </c>
      <c r="T145" s="16">
        <f>VLOOKUP(A145,[1]Sheet1!$A$2:$F$379,5,0)</f>
        <v>354</v>
      </c>
      <c r="U145" s="16" t="str">
        <f>VLOOKUP(A145,[1]Sheet1!$A$2:$F$379,6,0)</f>
        <v>351±1</v>
      </c>
      <c r="V145" s="16"/>
      <c r="W145" s="16"/>
      <c r="X145" s="16"/>
      <c r="Y145" s="18" t="str">
        <f>VLOOKUP(A145,[3]Combi!$A$1:$B$304,2,0)</f>
        <v>SOP/PROD/HOSE/SPS/2/9</v>
      </c>
    </row>
    <row r="146" spans="1:26" s="18" customFormat="1" x14ac:dyDescent="0.25">
      <c r="A146" s="13" t="s">
        <v>1209</v>
      </c>
      <c r="B146" s="14" t="str">
        <f>VLOOKUP(A146,[1]Sheet1!$A$2:$F$379,2,0)</f>
        <v>16280-BZ080</v>
      </c>
      <c r="C146" s="14" t="s">
        <v>853</v>
      </c>
      <c r="D146" s="14" t="s">
        <v>1237</v>
      </c>
      <c r="E146" s="15">
        <v>17.54</v>
      </c>
      <c r="F146" s="14"/>
      <c r="G146" s="14"/>
      <c r="H146" s="14"/>
      <c r="I146" s="14"/>
      <c r="J146" s="15">
        <f t="shared" si="5"/>
        <v>17.54</v>
      </c>
      <c r="K146" s="14" t="s">
        <v>1268</v>
      </c>
      <c r="L146" s="15">
        <v>0.4</v>
      </c>
      <c r="M146" s="15">
        <f t="shared" si="4"/>
        <v>17.939999999999998</v>
      </c>
      <c r="N146" s="14" t="str">
        <f>VLOOKUP(A146,[2]Sheet1!$B$4:$F$352,3,0)</f>
        <v>CHS2L</v>
      </c>
      <c r="O146" s="16">
        <f>VLOOKUP(A146,[2]Sheet1!$B$4:$F$352,4,0)</f>
        <v>5</v>
      </c>
      <c r="P146" s="16"/>
      <c r="Q146" s="16">
        <f>VLOOKUP(A146,[2]Sheet1!$B$4:$F$352,4,0)</f>
        <v>5</v>
      </c>
      <c r="R146" s="17">
        <f>VLOOKUP(A146,[1]Sheet1!$A$2:$F$379,3,0)</f>
        <v>7.5</v>
      </c>
      <c r="S146" s="16">
        <f>VLOOKUP(A146,[1]Sheet1!$A$2:$F$379,4,0)</f>
        <v>14.5</v>
      </c>
      <c r="T146" s="16">
        <f>VLOOKUP(A146,[1]Sheet1!$A$2:$F$379,5,0)</f>
        <v>112</v>
      </c>
      <c r="U146" s="16" t="str">
        <f>VLOOKUP(A146,[1]Sheet1!$A$2:$F$379,6,0)</f>
        <v>110±1</v>
      </c>
      <c r="V146" s="16"/>
      <c r="W146" s="16"/>
      <c r="X146" s="16"/>
      <c r="Y146" s="18" t="str">
        <f>VLOOKUP(A146,[3]Combi!$A$1:$B$304,2,0)</f>
        <v>SOP/PROD/HOSE/SPS/2/17</v>
      </c>
    </row>
    <row r="147" spans="1:26" s="18" customFormat="1" x14ac:dyDescent="0.25">
      <c r="A147" s="13" t="s">
        <v>1213</v>
      </c>
      <c r="B147" s="14" t="str">
        <f>VLOOKUP(A147,[1]Sheet1!$A$2:$F$379,2,0)</f>
        <v>12263-BZ010</v>
      </c>
      <c r="C147" s="14" t="s">
        <v>861</v>
      </c>
      <c r="D147" s="14" t="s">
        <v>1255</v>
      </c>
      <c r="E147" s="15">
        <v>80.08</v>
      </c>
      <c r="F147" s="14"/>
      <c r="G147" s="14"/>
      <c r="H147" s="14"/>
      <c r="I147" s="14"/>
      <c r="J147" s="15">
        <f t="shared" si="5"/>
        <v>80.08</v>
      </c>
      <c r="K147" s="14" t="s">
        <v>862</v>
      </c>
      <c r="L147" s="15">
        <v>1.27</v>
      </c>
      <c r="M147" s="15">
        <f t="shared" si="4"/>
        <v>81.349999999999994</v>
      </c>
      <c r="N147" s="14" t="str">
        <f>VLOOKUP(A147,[2]Sheet1!$B$4:$F$352,3,0)</f>
        <v>CHS2L</v>
      </c>
      <c r="O147" s="16">
        <f>VLOOKUP(A147,[2]Sheet1!$B$4:$F$352,4,0)</f>
        <v>2</v>
      </c>
      <c r="P147" s="16"/>
      <c r="Q147" s="16">
        <f>VLOOKUP(A147,[2]Sheet1!$B$4:$F$352,4,0)</f>
        <v>2</v>
      </c>
      <c r="R147" s="17">
        <f>VLOOKUP(A147,[1]Sheet1!$A$2:$F$379,3,0)</f>
        <v>11</v>
      </c>
      <c r="S147" s="16">
        <f>VLOOKUP(A147,[1]Sheet1!$A$2:$F$379,4,0)</f>
        <v>18</v>
      </c>
      <c r="T147" s="16">
        <f>VLOOKUP(A147,[1]Sheet1!$A$2:$F$379,5,0)</f>
        <v>396</v>
      </c>
      <c r="U147" s="16"/>
      <c r="V147" s="16"/>
      <c r="W147" s="16"/>
      <c r="X147" s="16"/>
      <c r="Y147" s="18" t="str">
        <f>VLOOKUP(A147,[3]Combi!$A$1:$B$304,2,0)</f>
        <v>SOP/PROD/HOSE/SPS/2/13</v>
      </c>
    </row>
    <row r="148" spans="1:26" s="18" customFormat="1" x14ac:dyDescent="0.25">
      <c r="A148" s="13" t="s">
        <v>1217</v>
      </c>
      <c r="B148" s="14" t="str">
        <f>VLOOKUP(A148,[1]Sheet1!$A$2:$F$379,2,0)</f>
        <v>87246--BZ490-K</v>
      </c>
      <c r="C148" s="14" t="s">
        <v>878</v>
      </c>
      <c r="D148" s="14" t="s">
        <v>1237</v>
      </c>
      <c r="E148" s="15">
        <v>46.94</v>
      </c>
      <c r="F148" s="14"/>
      <c r="G148" s="14"/>
      <c r="H148" s="14"/>
      <c r="I148" s="14"/>
      <c r="J148" s="15">
        <f t="shared" si="5"/>
        <v>46.94</v>
      </c>
      <c r="K148" s="14" t="s">
        <v>1265</v>
      </c>
      <c r="L148" s="15">
        <v>1.31</v>
      </c>
      <c r="M148" s="15">
        <f t="shared" si="4"/>
        <v>48.25</v>
      </c>
      <c r="N148" s="14" t="str">
        <f>VLOOKUP(A148,[2]Sheet1!$B$4:$F$352,3,0)</f>
        <v>CHS2L</v>
      </c>
      <c r="O148" s="16">
        <f>VLOOKUP(A148,[2]Sheet1!$B$4:$F$352,4,0)</f>
        <v>0</v>
      </c>
      <c r="P148" s="16"/>
      <c r="Q148" s="16">
        <f>VLOOKUP(A148,[2]Sheet1!$B$4:$F$352,4,0)</f>
        <v>0</v>
      </c>
      <c r="R148" s="17">
        <f>VLOOKUP(A148,[1]Sheet1!$A$2:$F$379,3,0)</f>
        <v>13</v>
      </c>
      <c r="S148" s="16">
        <f>VLOOKUP(A148,[1]Sheet1!$A$2:$F$379,4,0)</f>
        <v>21</v>
      </c>
      <c r="T148" s="16">
        <f>VLOOKUP(A148,[1]Sheet1!$A$2:$F$379,5,0)</f>
        <v>165</v>
      </c>
      <c r="U148" s="16"/>
      <c r="V148" s="16"/>
      <c r="W148" s="16"/>
      <c r="X148" s="16"/>
      <c r="Y148" s="18" t="str">
        <f>VLOOKUP(A148,[3]Combi!$A$1:$B$304,2,0)</f>
        <v>SOP/PROD/HOSE/SPS/2/9</v>
      </c>
    </row>
    <row r="149" spans="1:26" s="18" customFormat="1" x14ac:dyDescent="0.25">
      <c r="A149" s="13" t="s">
        <v>1112</v>
      </c>
      <c r="B149" s="14" t="str">
        <f>VLOOKUP(A149,[1]Sheet1!$A$2:$F$379,2,0)</f>
        <v>89823-94260</v>
      </c>
      <c r="C149" s="14" t="s">
        <v>631</v>
      </c>
      <c r="D149" s="14" t="s">
        <v>1231</v>
      </c>
      <c r="E149" s="15">
        <v>27.94</v>
      </c>
      <c r="F149" s="14" t="s">
        <v>1249</v>
      </c>
      <c r="G149" s="15">
        <v>60.52</v>
      </c>
      <c r="H149" s="14"/>
      <c r="I149" s="14"/>
      <c r="J149" s="15">
        <f t="shared" si="5"/>
        <v>88.460000000000008</v>
      </c>
      <c r="K149" s="14" t="s">
        <v>1263</v>
      </c>
      <c r="L149" s="15">
        <v>3.93</v>
      </c>
      <c r="M149" s="15">
        <f t="shared" si="4"/>
        <v>92.39</v>
      </c>
      <c r="N149" s="14" t="str">
        <f>VLOOKUP(A149,[2]Sheet1!$B$4:$F$352,3,0)</f>
        <v>CHS3L</v>
      </c>
      <c r="O149" s="16">
        <f>VLOOKUP(A149,[2]Sheet1!$B$4:$F$352,4,0)</f>
        <v>1</v>
      </c>
      <c r="P149" s="16"/>
      <c r="Q149" s="16">
        <f>VLOOKUP(A149,[2]Sheet1!$B$4:$F$352,4,0)</f>
        <v>1</v>
      </c>
      <c r="R149" s="17">
        <f>VLOOKUP(A149,[1]Sheet1!$A$2:$F$379,3,0)</f>
        <v>9.3000000000000007</v>
      </c>
      <c r="S149" s="16">
        <f>VLOOKUP(A149,[1]Sheet1!$A$2:$F$379,4,0)</f>
        <v>16.5</v>
      </c>
      <c r="T149" s="16">
        <f>VLOOKUP(A149,[1]Sheet1!$A$2:$F$379,5,0)</f>
        <v>597</v>
      </c>
      <c r="U149" s="16"/>
      <c r="V149" s="16"/>
      <c r="W149" s="16"/>
      <c r="X149" s="16"/>
      <c r="Y149" s="18" t="str">
        <f>VLOOKUP(A149,[3]Combi!$A$1:$B$304,2,0)</f>
        <v>SOP/PROD/HOSE/SPS/3/13</v>
      </c>
    </row>
    <row r="150" spans="1:26" s="18" customFormat="1" x14ac:dyDescent="0.25">
      <c r="A150" s="13" t="s">
        <v>1112</v>
      </c>
      <c r="B150" s="14" t="str">
        <f>VLOOKUP(A150,[1]Sheet1!$A$2:$F$379,2,0)</f>
        <v>89823-94260</v>
      </c>
      <c r="C150" s="14" t="s">
        <v>631</v>
      </c>
      <c r="D150" s="14" t="s">
        <v>1248</v>
      </c>
      <c r="E150" s="15">
        <v>23.94</v>
      </c>
      <c r="F150" s="14" t="s">
        <v>1249</v>
      </c>
      <c r="G150" s="15">
        <v>60.52</v>
      </c>
      <c r="H150" s="14"/>
      <c r="I150" s="14"/>
      <c r="J150" s="15">
        <f t="shared" si="5"/>
        <v>84.460000000000008</v>
      </c>
      <c r="K150" s="14" t="s">
        <v>1263</v>
      </c>
      <c r="L150" s="15">
        <v>3.93</v>
      </c>
      <c r="M150" s="15">
        <f t="shared" si="4"/>
        <v>88.39</v>
      </c>
      <c r="N150" s="14" t="str">
        <f>VLOOKUP(A150,[2]Sheet1!$B$4:$F$352,3,0)</f>
        <v>CHS3L</v>
      </c>
      <c r="O150" s="16">
        <f>VLOOKUP(A150,[2]Sheet1!$B$4:$F$352,4,0)</f>
        <v>1</v>
      </c>
      <c r="P150" s="16"/>
      <c r="Q150" s="16">
        <f>VLOOKUP(A150,[2]Sheet1!$B$4:$F$352,4,0)</f>
        <v>1</v>
      </c>
      <c r="R150" s="17">
        <f>VLOOKUP(A150,[1]Sheet1!$A$2:$F$379,3,0)</f>
        <v>9.3000000000000007</v>
      </c>
      <c r="S150" s="16">
        <f>VLOOKUP(A150,[1]Sheet1!$A$2:$F$379,4,0)</f>
        <v>16.5</v>
      </c>
      <c r="T150" s="16">
        <f>VLOOKUP(A150,[1]Sheet1!$A$2:$F$379,5,0)</f>
        <v>597</v>
      </c>
      <c r="U150" s="16" t="str">
        <f>VLOOKUP(A150,[1]Sheet1!$A$2:$F$379,6,0)</f>
        <v>592±1</v>
      </c>
      <c r="V150" s="16"/>
      <c r="W150" s="16"/>
      <c r="X150" s="16"/>
      <c r="Y150" s="18" t="str">
        <f>VLOOKUP(A150,[3]Combi!$A$1:$B$304,2,0)</f>
        <v>SOP/PROD/HOSE/SPS/3/13</v>
      </c>
    </row>
    <row r="151" spans="1:26" s="18" customFormat="1" x14ac:dyDescent="0.25">
      <c r="A151" s="13" t="s">
        <v>1112</v>
      </c>
      <c r="B151" s="14" t="str">
        <f>VLOOKUP(A151,[1]Sheet1!$A$2:$F$379,2,0)</f>
        <v>89823-94260</v>
      </c>
      <c r="C151" s="14" t="s">
        <v>631</v>
      </c>
      <c r="D151" s="14" t="s">
        <v>1248</v>
      </c>
      <c r="E151" s="15">
        <v>23.69</v>
      </c>
      <c r="F151" s="14" t="s">
        <v>1232</v>
      </c>
      <c r="G151" s="15">
        <v>56.55</v>
      </c>
      <c r="H151" s="14" t="s">
        <v>1233</v>
      </c>
      <c r="I151" s="15">
        <v>73.599999999999994</v>
      </c>
      <c r="J151" s="15">
        <f t="shared" si="5"/>
        <v>153.83999999999997</v>
      </c>
      <c r="K151" s="14" t="s">
        <v>1263</v>
      </c>
      <c r="L151" s="15">
        <v>4.41</v>
      </c>
      <c r="M151" s="15">
        <f t="shared" si="4"/>
        <v>158.25</v>
      </c>
      <c r="N151" s="14" t="str">
        <f>VLOOKUP(A151,[2]Sheet1!$B$4:$F$352,3,0)</f>
        <v>CHS3L</v>
      </c>
      <c r="O151" s="16">
        <f>VLOOKUP(A151,[2]Sheet1!$B$4:$F$352,4,0)</f>
        <v>1</v>
      </c>
      <c r="P151" s="16"/>
      <c r="Q151" s="16">
        <f>VLOOKUP(A151,[2]Sheet1!$B$4:$F$352,4,0)</f>
        <v>1</v>
      </c>
      <c r="R151" s="17">
        <f>VLOOKUP(A151,[1]Sheet1!$A$2:$F$379,3,0)</f>
        <v>9.3000000000000007</v>
      </c>
      <c r="S151" s="16">
        <f>VLOOKUP(A151,[1]Sheet1!$A$2:$F$379,4,0)</f>
        <v>16.5</v>
      </c>
      <c r="T151" s="16">
        <f>VLOOKUP(A151,[1]Sheet1!$A$2:$F$379,5,0)</f>
        <v>597</v>
      </c>
      <c r="U151" s="16" t="str">
        <f>VLOOKUP(A151,[1]Sheet1!$A$2:$F$379,6,0)</f>
        <v>592±1</v>
      </c>
      <c r="V151" s="16"/>
      <c r="W151" s="16"/>
      <c r="X151" s="16"/>
      <c r="Y151" s="18" t="str">
        <f>VLOOKUP(A151,[3]Combi!$A$1:$B$304,2,0)</f>
        <v>SOP/PROD/HOSE/SPS/3/13</v>
      </c>
    </row>
    <row r="152" spans="1:26" s="18" customFormat="1" x14ac:dyDescent="0.25">
      <c r="A152" s="13" t="s">
        <v>1121</v>
      </c>
      <c r="B152" s="14" t="str">
        <f>VLOOKUP(A152,[1]Sheet1!$A$2:$F$379,2,0)</f>
        <v>89823-94270</v>
      </c>
      <c r="C152" s="14" t="s">
        <v>651</v>
      </c>
      <c r="D152" s="14" t="s">
        <v>1231</v>
      </c>
      <c r="E152" s="15">
        <v>12.4</v>
      </c>
      <c r="F152" s="14" t="s">
        <v>1249</v>
      </c>
      <c r="G152" s="15">
        <v>55.58</v>
      </c>
      <c r="H152" s="14"/>
      <c r="I152" s="14"/>
      <c r="J152" s="15">
        <f t="shared" si="5"/>
        <v>67.98</v>
      </c>
      <c r="K152" s="14" t="s">
        <v>1267</v>
      </c>
      <c r="L152" s="15">
        <v>3.28</v>
      </c>
      <c r="M152" s="15">
        <f t="shared" si="4"/>
        <v>71.260000000000005</v>
      </c>
      <c r="N152" s="14" t="str">
        <f>VLOOKUP(A152,[2]Sheet1!$B$4:$F$352,3,0)</f>
        <v>CHS3L</v>
      </c>
      <c r="O152" s="16">
        <f>VLOOKUP(A152,[2]Sheet1!$B$4:$F$352,4,0)</f>
        <v>1</v>
      </c>
      <c r="P152" s="16"/>
      <c r="Q152" s="16">
        <f>VLOOKUP(A152,[2]Sheet1!$B$4:$F$352,4,0)</f>
        <v>1</v>
      </c>
      <c r="R152" s="17">
        <f>VLOOKUP(A152,[1]Sheet1!$A$2:$F$379,3,0)</f>
        <v>5.8</v>
      </c>
      <c r="S152" s="16">
        <f>VLOOKUP(A152,[1]Sheet1!$A$2:$F$379,4,0)</f>
        <v>12.2</v>
      </c>
      <c r="T152" s="16">
        <f>VLOOKUP(A152,[1]Sheet1!$A$2:$F$379,5,0)</f>
        <v>465</v>
      </c>
      <c r="U152" s="16" t="str">
        <f>VLOOKUP(A152,[1]Sheet1!$A$2:$F$379,6,0)</f>
        <v>465±1</v>
      </c>
      <c r="V152" s="16"/>
      <c r="W152" s="16"/>
      <c r="X152" s="16"/>
      <c r="Y152" s="18" t="str">
        <f>VLOOKUP(A152,[3]Combi!$A$1:$B$304,2,0)</f>
        <v>SOP/PROD/HOSE/SPS/3/15</v>
      </c>
    </row>
    <row r="153" spans="1:26" s="18" customFormat="1" x14ac:dyDescent="0.25">
      <c r="A153" s="13" t="s">
        <v>1121</v>
      </c>
      <c r="B153" s="14" t="str">
        <f>VLOOKUP(A153,[1]Sheet1!$A$2:$F$379,2,0)</f>
        <v>89823-94270</v>
      </c>
      <c r="C153" s="14" t="s">
        <v>651</v>
      </c>
      <c r="D153" s="14" t="s">
        <v>1248</v>
      </c>
      <c r="E153" s="15">
        <v>8.4</v>
      </c>
      <c r="F153" s="14" t="s">
        <v>1249</v>
      </c>
      <c r="G153" s="15">
        <v>55.58</v>
      </c>
      <c r="H153" s="14"/>
      <c r="I153" s="14"/>
      <c r="J153" s="15">
        <f t="shared" si="5"/>
        <v>63.98</v>
      </c>
      <c r="K153" s="14" t="s">
        <v>1267</v>
      </c>
      <c r="L153" s="15">
        <v>3.28</v>
      </c>
      <c r="M153" s="15">
        <f t="shared" si="4"/>
        <v>67.260000000000005</v>
      </c>
      <c r="N153" s="14" t="str">
        <f>VLOOKUP(A153,[2]Sheet1!$B$4:$F$352,3,0)</f>
        <v>CHS3L</v>
      </c>
      <c r="O153" s="16">
        <f>VLOOKUP(A153,[2]Sheet1!$B$4:$F$352,4,0)</f>
        <v>1</v>
      </c>
      <c r="P153" s="16"/>
      <c r="Q153" s="16">
        <f>VLOOKUP(A153,[2]Sheet1!$B$4:$F$352,4,0)</f>
        <v>1</v>
      </c>
      <c r="R153" s="17">
        <f>VLOOKUP(A153,[1]Sheet1!$A$2:$F$379,3,0)</f>
        <v>5.8</v>
      </c>
      <c r="S153" s="16">
        <f>VLOOKUP(A153,[1]Sheet1!$A$2:$F$379,4,0)</f>
        <v>12.2</v>
      </c>
      <c r="T153" s="16">
        <f>VLOOKUP(A153,[1]Sheet1!$A$2:$F$379,5,0)</f>
        <v>465</v>
      </c>
      <c r="U153" s="16" t="str">
        <f>VLOOKUP(A153,[1]Sheet1!$A$2:$F$379,6,0)</f>
        <v>465±1</v>
      </c>
      <c r="V153" s="16"/>
      <c r="W153" s="16"/>
      <c r="X153" s="16"/>
      <c r="Y153" s="18" t="str">
        <f>VLOOKUP(A153,[3]Combi!$A$1:$B$304,2,0)</f>
        <v>SOP/PROD/HOSE/SPS/3/15</v>
      </c>
    </row>
    <row r="154" spans="1:26" s="18" customFormat="1" x14ac:dyDescent="0.25">
      <c r="A154" s="13" t="s">
        <v>1121</v>
      </c>
      <c r="B154" s="14" t="str">
        <f>VLOOKUP(A154,[1]Sheet1!$A$2:$F$379,2,0)</f>
        <v>89823-94270</v>
      </c>
      <c r="C154" s="14" t="s">
        <v>651</v>
      </c>
      <c r="D154" s="14" t="s">
        <v>1248</v>
      </c>
      <c r="E154" s="15">
        <v>11.7</v>
      </c>
      <c r="F154" s="14" t="s">
        <v>1232</v>
      </c>
      <c r="G154" s="15">
        <v>17.84</v>
      </c>
      <c r="H154" s="14" t="s">
        <v>1233</v>
      </c>
      <c r="I154" s="15">
        <v>21.27</v>
      </c>
      <c r="J154" s="15">
        <f t="shared" si="5"/>
        <v>50.81</v>
      </c>
      <c r="K154" s="14" t="s">
        <v>1267</v>
      </c>
      <c r="L154" s="15">
        <v>1.56</v>
      </c>
      <c r="M154" s="15">
        <f t="shared" si="4"/>
        <v>52.370000000000005</v>
      </c>
      <c r="N154" s="14" t="str">
        <f>VLOOKUP(A154,[2]Sheet1!$B$4:$F$352,3,0)</f>
        <v>CHS3L</v>
      </c>
      <c r="O154" s="16">
        <f>VLOOKUP(A154,[2]Sheet1!$B$4:$F$352,4,0)</f>
        <v>1</v>
      </c>
      <c r="P154" s="16"/>
      <c r="Q154" s="16">
        <f>VLOOKUP(A154,[2]Sheet1!$B$4:$F$352,4,0)</f>
        <v>1</v>
      </c>
      <c r="R154" s="17">
        <f>VLOOKUP(A154,[1]Sheet1!$A$2:$F$379,3,0)</f>
        <v>5.8</v>
      </c>
      <c r="S154" s="16">
        <f>VLOOKUP(A154,[1]Sheet1!$A$2:$F$379,4,0)</f>
        <v>12.2</v>
      </c>
      <c r="T154" s="16">
        <f>VLOOKUP(A154,[1]Sheet1!$A$2:$F$379,5,0)</f>
        <v>465</v>
      </c>
      <c r="U154" s="16" t="str">
        <f>VLOOKUP(A154,[1]Sheet1!$A$2:$F$379,6,0)</f>
        <v>465±1</v>
      </c>
      <c r="V154" s="16"/>
      <c r="W154" s="16"/>
      <c r="X154" s="16"/>
      <c r="Y154" s="18" t="str">
        <f>VLOOKUP(A154,[3]Combi!$A$1:$B$304,2,0)</f>
        <v>SOP/PROD/HOSE/SPS/3/15</v>
      </c>
    </row>
    <row r="155" spans="1:26" s="18" customFormat="1" x14ac:dyDescent="0.25">
      <c r="A155" s="13" t="s">
        <v>1114</v>
      </c>
      <c r="B155" s="14" t="str">
        <f>VLOOKUP(A155,[1]Sheet1!$A$2:$F$379,2,0)</f>
        <v>89381-03491</v>
      </c>
      <c r="C155" s="14" t="s">
        <v>635</v>
      </c>
      <c r="D155" s="14" t="s">
        <v>1231</v>
      </c>
      <c r="E155" s="15">
        <v>9.26</v>
      </c>
      <c r="F155" s="14" t="s">
        <v>1249</v>
      </c>
      <c r="G155" s="15">
        <v>34.840000000000003</v>
      </c>
      <c r="H155" s="14"/>
      <c r="I155" s="14"/>
      <c r="J155" s="15">
        <f t="shared" si="5"/>
        <v>44.1</v>
      </c>
      <c r="K155" s="14" t="s">
        <v>1263</v>
      </c>
      <c r="L155" s="15">
        <v>2.0299999999999998</v>
      </c>
      <c r="M155" s="15">
        <f t="shared" si="4"/>
        <v>46.13</v>
      </c>
      <c r="N155" s="14" t="str">
        <f>VLOOKUP(A155,[2]Sheet1!$B$4:$F$352,3,0)</f>
        <v>CHS3L</v>
      </c>
      <c r="O155" s="16">
        <f>VLOOKUP(A155,[2]Sheet1!$B$4:$F$352,4,0)</f>
        <v>2</v>
      </c>
      <c r="P155" s="16"/>
      <c r="Q155" s="16">
        <f>VLOOKUP(A155,[2]Sheet1!$B$4:$F$352,4,0)</f>
        <v>2</v>
      </c>
      <c r="R155" s="17">
        <f>VLOOKUP(A155,[1]Sheet1!$A$2:$F$379,3,0)</f>
        <v>9.3000000000000007</v>
      </c>
      <c r="S155" s="16">
        <f>VLOOKUP(A155,[1]Sheet1!$A$2:$F$379,4,0)</f>
        <v>16.5</v>
      </c>
      <c r="T155" s="16">
        <f>VLOOKUP(A155,[1]Sheet1!$A$2:$F$379,5,0)</f>
        <v>278</v>
      </c>
      <c r="U155" s="16" t="str">
        <f>VLOOKUP(A155,[1]Sheet1!$A$2:$F$379,6,0)</f>
        <v>270±1</v>
      </c>
      <c r="V155" s="16"/>
      <c r="W155" s="16"/>
      <c r="X155" s="16"/>
      <c r="Y155" s="18" t="str">
        <f>VLOOKUP(A155,[3]Combi!$A$1:$B$304,2,0)</f>
        <v>SOP/PROD/HOSE/SPS/3/13</v>
      </c>
    </row>
    <row r="156" spans="1:26" s="18" customFormat="1" x14ac:dyDescent="0.25">
      <c r="A156" s="13" t="s">
        <v>1114</v>
      </c>
      <c r="B156" s="14" t="str">
        <f>VLOOKUP(A156,[1]Sheet1!$A$2:$F$379,2,0)</f>
        <v>89381-03491</v>
      </c>
      <c r="C156" s="14" t="s">
        <v>635</v>
      </c>
      <c r="D156" s="14" t="s">
        <v>1248</v>
      </c>
      <c r="E156" s="15">
        <v>5.26</v>
      </c>
      <c r="F156" s="14" t="s">
        <v>1249</v>
      </c>
      <c r="G156" s="15">
        <v>34.840000000000003</v>
      </c>
      <c r="H156" s="14"/>
      <c r="I156" s="14"/>
      <c r="J156" s="15">
        <f t="shared" si="5"/>
        <v>40.1</v>
      </c>
      <c r="K156" s="14" t="s">
        <v>1263</v>
      </c>
      <c r="L156" s="15">
        <v>2.0299999999999998</v>
      </c>
      <c r="M156" s="15">
        <f t="shared" si="4"/>
        <v>42.13</v>
      </c>
      <c r="N156" s="14" t="str">
        <f>VLOOKUP(A156,[2]Sheet1!$B$4:$F$352,3,0)</f>
        <v>CHS3L</v>
      </c>
      <c r="O156" s="16">
        <f>VLOOKUP(A156,[2]Sheet1!$B$4:$F$352,4,0)</f>
        <v>2</v>
      </c>
      <c r="P156" s="16"/>
      <c r="Q156" s="16">
        <f>VLOOKUP(A156,[2]Sheet1!$B$4:$F$352,4,0)</f>
        <v>2</v>
      </c>
      <c r="R156" s="17">
        <f>VLOOKUP(A156,[1]Sheet1!$A$2:$F$379,3,0)</f>
        <v>9.3000000000000007</v>
      </c>
      <c r="S156" s="16">
        <f>VLOOKUP(A156,[1]Sheet1!$A$2:$F$379,4,0)</f>
        <v>16.5</v>
      </c>
      <c r="T156" s="16">
        <f>VLOOKUP(A156,[1]Sheet1!$A$2:$F$379,5,0)</f>
        <v>278</v>
      </c>
      <c r="U156" s="16" t="str">
        <f>VLOOKUP(A156,[1]Sheet1!$A$2:$F$379,6,0)</f>
        <v>270±1</v>
      </c>
      <c r="V156" s="16"/>
      <c r="W156" s="16"/>
      <c r="X156" s="16"/>
      <c r="Y156" s="18" t="str">
        <f>VLOOKUP(A156,[3]Combi!$A$1:$B$304,2,0)</f>
        <v>SOP/PROD/HOSE/SPS/3/13</v>
      </c>
    </row>
    <row r="157" spans="1:26" s="18" customFormat="1" x14ac:dyDescent="0.25">
      <c r="A157" s="13" t="s">
        <v>1114</v>
      </c>
      <c r="B157" s="14" t="str">
        <f>VLOOKUP(A157,[1]Sheet1!$A$2:$F$379,2,0)</f>
        <v>89381-03491</v>
      </c>
      <c r="C157" s="14" t="s">
        <v>635</v>
      </c>
      <c r="D157" s="14" t="s">
        <v>1248</v>
      </c>
      <c r="E157" s="15">
        <v>12.79</v>
      </c>
      <c r="F157" s="14" t="s">
        <v>1232</v>
      </c>
      <c r="G157" s="15">
        <v>30.52</v>
      </c>
      <c r="H157" s="14" t="s">
        <v>1233</v>
      </c>
      <c r="I157" s="15">
        <v>39.72</v>
      </c>
      <c r="J157" s="15">
        <f t="shared" si="5"/>
        <v>83.03</v>
      </c>
      <c r="K157" s="14" t="s">
        <v>1263</v>
      </c>
      <c r="L157" s="15">
        <v>2.38</v>
      </c>
      <c r="M157" s="15">
        <f t="shared" si="4"/>
        <v>85.41</v>
      </c>
      <c r="N157" s="14" t="str">
        <f>VLOOKUP(A157,[2]Sheet1!$B$4:$F$352,3,0)</f>
        <v>CHS3L</v>
      </c>
      <c r="O157" s="16">
        <f>VLOOKUP(A157,[2]Sheet1!$B$4:$F$352,4,0)</f>
        <v>2</v>
      </c>
      <c r="P157" s="16"/>
      <c r="Q157" s="16">
        <f>VLOOKUP(A157,[2]Sheet1!$B$4:$F$352,4,0)</f>
        <v>2</v>
      </c>
      <c r="R157" s="17">
        <f>VLOOKUP(A157,[1]Sheet1!$A$2:$F$379,3,0)</f>
        <v>9.3000000000000007</v>
      </c>
      <c r="S157" s="16">
        <f>VLOOKUP(A157,[1]Sheet1!$A$2:$F$379,4,0)</f>
        <v>16.5</v>
      </c>
      <c r="T157" s="16">
        <f>VLOOKUP(A157,[1]Sheet1!$A$2:$F$379,5,0)</f>
        <v>278</v>
      </c>
      <c r="U157" s="16" t="str">
        <f>VLOOKUP(A157,[1]Sheet1!$A$2:$F$379,6,0)</f>
        <v>270±1</v>
      </c>
      <c r="V157" s="16"/>
      <c r="W157" s="16"/>
      <c r="X157" s="16"/>
      <c r="Y157" s="18" t="str">
        <f>VLOOKUP(A157,[3]Combi!$A$1:$B$304,2,0)</f>
        <v>SOP/PROD/HOSE/SPS/3/13</v>
      </c>
    </row>
    <row r="158" spans="1:26" s="18" customFormat="1" x14ac:dyDescent="0.25">
      <c r="A158" s="13" t="s">
        <v>1005</v>
      </c>
      <c r="B158" s="14">
        <f>VLOOKUP(A158,[1]Sheet1!$A$2:$F$379,2,0)</f>
        <v>8982851430</v>
      </c>
      <c r="C158" s="14" t="s">
        <v>350</v>
      </c>
      <c r="D158" s="14" t="s">
        <v>1237</v>
      </c>
      <c r="E158" s="15">
        <v>60.38</v>
      </c>
      <c r="F158" s="14"/>
      <c r="G158" s="14"/>
      <c r="H158" s="14"/>
      <c r="I158" s="14"/>
      <c r="J158" s="15">
        <f t="shared" si="5"/>
        <v>60.38</v>
      </c>
      <c r="K158" s="14"/>
      <c r="L158" s="14"/>
      <c r="M158" s="15">
        <f t="shared" si="4"/>
        <v>60.38</v>
      </c>
      <c r="N158" s="14" t="str">
        <f>VLOOKUP(A158,[2]Sheet1!$B$4:$F$352,3,0)</f>
        <v>DL1</v>
      </c>
      <c r="O158" s="16">
        <f>VLOOKUP(A158,[2]Sheet1!$B$4:$F$352,4,0)</f>
        <v>7</v>
      </c>
      <c r="P158" s="16"/>
      <c r="Q158" s="16">
        <f>VLOOKUP(A158,[2]Sheet1!$B$4:$F$352,4,0)</f>
        <v>7</v>
      </c>
      <c r="R158" s="17">
        <f>VLOOKUP(A158,[1]Sheet1!$A$2:$F$379,3,0)</f>
        <v>8</v>
      </c>
      <c r="S158" s="16">
        <f>VLOOKUP(A158,[1]Sheet1!$A$2:$F$379,4,0)</f>
        <v>14</v>
      </c>
      <c r="T158" s="16" t="str">
        <f>VLOOKUP(A158,[1]Sheet1!$A$2:$F$379,5,0)</f>
        <v>453±2</v>
      </c>
      <c r="U158" s="16">
        <f>VLOOKUP(A158,[1]Sheet1!$A$2:$F$379,6,0)</f>
        <v>0</v>
      </c>
      <c r="V158" s="16"/>
      <c r="W158" s="16"/>
      <c r="X158" s="16"/>
      <c r="Y158" s="18" t="e">
        <f>VLOOKUP(A158,[3]Combi!$A$1:$B$304,2,0)</f>
        <v>#N/A</v>
      </c>
      <c r="Z158" s="22" t="s">
        <v>1291</v>
      </c>
    </row>
    <row r="159" spans="1:26" s="18" customFormat="1" x14ac:dyDescent="0.25">
      <c r="A159" s="13" t="s">
        <v>1047</v>
      </c>
      <c r="B159" s="14">
        <f>VLOOKUP(A159,[1]Sheet1!$A$2:$F$379,2,0)</f>
        <v>8982851440</v>
      </c>
      <c r="C159" s="14" t="s">
        <v>454</v>
      </c>
      <c r="D159" s="14" t="s">
        <v>1237</v>
      </c>
      <c r="E159" s="15">
        <v>51.58</v>
      </c>
      <c r="F159" s="14"/>
      <c r="G159" s="14"/>
      <c r="H159" s="14"/>
      <c r="I159" s="14"/>
      <c r="J159" s="15">
        <f t="shared" si="5"/>
        <v>51.58</v>
      </c>
      <c r="K159" s="14"/>
      <c r="L159" s="14"/>
      <c r="M159" s="15">
        <f t="shared" si="4"/>
        <v>51.58</v>
      </c>
      <c r="N159" s="14" t="str">
        <f>VLOOKUP(A159,[2]Sheet1!$B$4:$F$352,3,0)</f>
        <v>DL1</v>
      </c>
      <c r="O159" s="16">
        <f>VLOOKUP(A159,[2]Sheet1!$B$4:$F$352,4,0)</f>
        <v>7</v>
      </c>
      <c r="P159" s="16"/>
      <c r="Q159" s="16">
        <f>VLOOKUP(A159,[2]Sheet1!$B$4:$F$352,4,0)</f>
        <v>7</v>
      </c>
      <c r="R159" s="17">
        <f>VLOOKUP(A159,[1]Sheet1!$A$2:$F$379,3,0)</f>
        <v>8</v>
      </c>
      <c r="S159" s="16">
        <f>VLOOKUP(A159,[1]Sheet1!$A$2:$F$379,4,0)</f>
        <v>14</v>
      </c>
      <c r="T159" s="16" t="str">
        <f>VLOOKUP(A159,[1]Sheet1!$A$2:$F$379,5,0)</f>
        <v>413±2</v>
      </c>
      <c r="U159" s="16">
        <f>VLOOKUP(A159,[1]Sheet1!$A$2:$F$379,6,0)</f>
        <v>0</v>
      </c>
      <c r="V159" s="16"/>
      <c r="W159" s="16"/>
      <c r="X159" s="16"/>
      <c r="Y159" s="18" t="e">
        <f>VLOOKUP(A159,[3]Combi!$A$1:$B$304,2,0)</f>
        <v>#N/A</v>
      </c>
      <c r="Z159" s="22" t="s">
        <v>1291</v>
      </c>
    </row>
    <row r="160" spans="1:26" s="18" customFormat="1" x14ac:dyDescent="0.25">
      <c r="A160" s="13" t="s">
        <v>1048</v>
      </c>
      <c r="B160" s="14">
        <f>VLOOKUP(A160,[1]Sheet1!$A$2:$F$379,2,0)</f>
        <v>8982597690</v>
      </c>
      <c r="C160" s="14" t="s">
        <v>456</v>
      </c>
      <c r="D160" s="14" t="s">
        <v>1237</v>
      </c>
      <c r="E160" s="15">
        <v>55.35</v>
      </c>
      <c r="F160" s="14"/>
      <c r="G160" s="14"/>
      <c r="H160" s="14"/>
      <c r="I160" s="14"/>
      <c r="J160" s="15">
        <f t="shared" si="5"/>
        <v>55.35</v>
      </c>
      <c r="K160" s="14"/>
      <c r="L160" s="14"/>
      <c r="M160" s="15">
        <f t="shared" si="4"/>
        <v>55.35</v>
      </c>
      <c r="N160" s="14" t="str">
        <f>VLOOKUP(A160,[2]Sheet1!$B$4:$F$352,3,0)</f>
        <v>DL1</v>
      </c>
      <c r="O160" s="16">
        <f>VLOOKUP(A160,[2]Sheet1!$B$4:$F$352,4,0)</f>
        <v>7</v>
      </c>
      <c r="P160" s="16"/>
      <c r="Q160" s="16">
        <f>VLOOKUP(A160,[2]Sheet1!$B$4:$F$352,4,0)</f>
        <v>7</v>
      </c>
      <c r="R160" s="17">
        <f>VLOOKUP(A160,[1]Sheet1!$A$2:$F$379,3,0)</f>
        <v>8</v>
      </c>
      <c r="S160" s="16">
        <f>VLOOKUP(A160,[1]Sheet1!$A$2:$F$379,4,0)</f>
        <v>14</v>
      </c>
      <c r="T160" s="16" t="str">
        <f>VLOOKUP(A160,[1]Sheet1!$A$2:$F$379,5,0)</f>
        <v>418±2</v>
      </c>
      <c r="U160" s="16">
        <f>VLOOKUP(A160,[1]Sheet1!$A$2:$F$379,6,0)</f>
        <v>0</v>
      </c>
      <c r="V160" s="16"/>
      <c r="W160" s="16"/>
      <c r="X160" s="16"/>
      <c r="Y160" s="18" t="e">
        <f>VLOOKUP(A160,[3]Combi!$A$1:$B$304,2,0)</f>
        <v>#N/A</v>
      </c>
      <c r="Z160" s="22" t="s">
        <v>1291</v>
      </c>
    </row>
    <row r="161" spans="1:26" s="18" customFormat="1" x14ac:dyDescent="0.25">
      <c r="A161" s="13" t="s">
        <v>994</v>
      </c>
      <c r="B161" s="14">
        <f>VLOOKUP(A161,[1]Sheet1!$A$2:$F$379,2,0)</f>
        <v>8982591170</v>
      </c>
      <c r="C161" s="14" t="s">
        <v>327</v>
      </c>
      <c r="D161" s="14" t="s">
        <v>1224</v>
      </c>
      <c r="E161" s="15">
        <v>27.06</v>
      </c>
      <c r="F161" s="14" t="s">
        <v>1225</v>
      </c>
      <c r="G161" s="15">
        <v>31.09</v>
      </c>
      <c r="H161" s="14" t="s">
        <v>1226</v>
      </c>
      <c r="I161" s="15">
        <v>26.11</v>
      </c>
      <c r="J161" s="15">
        <f t="shared" si="5"/>
        <v>84.259999999999991</v>
      </c>
      <c r="K161" s="14" t="s">
        <v>1264</v>
      </c>
      <c r="L161" s="15">
        <v>2.0099999999999998</v>
      </c>
      <c r="M161" s="15">
        <f t="shared" si="4"/>
        <v>86.27</v>
      </c>
      <c r="N161" s="14" t="str">
        <f>VLOOKUP(A161,[2]Sheet1!$B$4:$F$352,3,0)</f>
        <v>CHS3L</v>
      </c>
      <c r="O161" s="16">
        <f>VLOOKUP(A161,[2]Sheet1!$B$4:$F$352,4,0)</f>
        <v>2</v>
      </c>
      <c r="P161" s="16"/>
      <c r="Q161" s="16">
        <f>VLOOKUP(A161,[2]Sheet1!$B$4:$F$352,4,0)</f>
        <v>2</v>
      </c>
      <c r="R161" s="17">
        <f>VLOOKUP(A161,[1]Sheet1!$A$2:$F$379,3,0)</f>
        <v>8.73</v>
      </c>
      <c r="S161" s="16">
        <f>VLOOKUP(A161,[1]Sheet1!$A$2:$F$379,4,0)</f>
        <v>17.46</v>
      </c>
      <c r="T161" s="16">
        <f>VLOOKUP(A161,[1]Sheet1!$A$2:$F$379,5,0)</f>
        <v>381</v>
      </c>
      <c r="U161" s="16" t="str">
        <f>VLOOKUP(A161,[1]Sheet1!$A$2:$F$379,6,0)</f>
        <v>373-376</v>
      </c>
      <c r="V161" s="16"/>
      <c r="W161" s="16"/>
      <c r="X161" s="16"/>
      <c r="Y161" s="18" t="e">
        <f>VLOOKUP(A161,[3]Combi!$A$1:$B$304,2,0)</f>
        <v>#N/A</v>
      </c>
      <c r="Z161" s="22" t="s">
        <v>1291</v>
      </c>
    </row>
    <row r="162" spans="1:26" s="18" customFormat="1" x14ac:dyDescent="0.25">
      <c r="A162" s="13" t="s">
        <v>995</v>
      </c>
      <c r="B162" s="14">
        <f>VLOOKUP(A162,[1]Sheet1!$A$2:$F$379,2,0)</f>
        <v>8982391660</v>
      </c>
      <c r="C162" s="14" t="s">
        <v>329</v>
      </c>
      <c r="D162" s="14" t="s">
        <v>1237</v>
      </c>
      <c r="E162" s="15">
        <v>116.23</v>
      </c>
      <c r="F162" s="14"/>
      <c r="G162" s="14"/>
      <c r="H162" s="14"/>
      <c r="I162" s="14"/>
      <c r="J162" s="15">
        <f t="shared" si="5"/>
        <v>116.23</v>
      </c>
      <c r="K162" s="14"/>
      <c r="L162" s="14"/>
      <c r="M162" s="15">
        <f t="shared" si="4"/>
        <v>116.23</v>
      </c>
      <c r="N162" s="14" t="str">
        <f>VLOOKUP(A162,[2]Sheet1!$B$4:$F$352,3,0)</f>
        <v>DL1</v>
      </c>
      <c r="O162" s="16">
        <f>VLOOKUP(A162,[2]Sheet1!$B$4:$F$352,4,0)</f>
        <v>2</v>
      </c>
      <c r="P162" s="16"/>
      <c r="Q162" s="16">
        <f>VLOOKUP(A162,[2]Sheet1!$B$4:$F$352,4,0)</f>
        <v>2</v>
      </c>
      <c r="R162" s="17">
        <f>VLOOKUP(A162,[1]Sheet1!$A$2:$F$379,3,0)</f>
        <v>8.73</v>
      </c>
      <c r="S162" s="16">
        <f>VLOOKUP(A162,[1]Sheet1!$A$2:$F$379,4,0)</f>
        <v>17.5</v>
      </c>
      <c r="T162" s="16" t="str">
        <f>VLOOKUP(A162,[1]Sheet1!$A$2:$F$379,5,0)</f>
        <v>510±2</v>
      </c>
      <c r="U162" s="16" t="str">
        <f>VLOOKUP(A162,[1]Sheet1!$A$2:$F$379,6,0)</f>
        <v>505-508</v>
      </c>
      <c r="V162" s="16"/>
      <c r="W162" s="16"/>
      <c r="X162" s="16"/>
      <c r="Y162" s="18" t="e">
        <f>VLOOKUP(A162,[3]Combi!$A$1:$B$304,2,0)</f>
        <v>#N/A</v>
      </c>
      <c r="Z162" s="22" t="s">
        <v>1291</v>
      </c>
    </row>
    <row r="163" spans="1:26" s="18" customFormat="1" x14ac:dyDescent="0.25">
      <c r="A163" s="13" t="s">
        <v>1001</v>
      </c>
      <c r="B163" s="14" t="str">
        <f>VLOOKUP(A163,[1]Sheet1!$A$2:$F$379,2,0)</f>
        <v>89751-76860</v>
      </c>
      <c r="C163" s="14" t="s">
        <v>341</v>
      </c>
      <c r="D163" s="14" t="s">
        <v>1236</v>
      </c>
      <c r="E163" s="15">
        <v>141.63</v>
      </c>
      <c r="F163" s="14" t="s">
        <v>1236</v>
      </c>
      <c r="G163" s="15">
        <v>160.41</v>
      </c>
      <c r="H163" s="14"/>
      <c r="I163" s="14"/>
      <c r="J163" s="15">
        <f t="shared" si="5"/>
        <v>302.03999999999996</v>
      </c>
      <c r="K163" s="14" t="s">
        <v>1266</v>
      </c>
      <c r="L163" s="15">
        <v>8.57</v>
      </c>
      <c r="M163" s="15">
        <f t="shared" si="4"/>
        <v>310.61</v>
      </c>
      <c r="N163" s="14" t="str">
        <f>VLOOKUP(A163,[2]Sheet1!$B$4:$F$352,3,0)</f>
        <v>CHS2L</v>
      </c>
      <c r="O163" s="16">
        <f>VLOOKUP(A163,[2]Sheet1!$B$4:$F$352,4,0)</f>
        <v>6</v>
      </c>
      <c r="P163" s="16"/>
      <c r="Q163" s="16">
        <f>VLOOKUP(A163,[2]Sheet1!$B$4:$F$352,4,0)</f>
        <v>6</v>
      </c>
      <c r="R163" s="17">
        <f>VLOOKUP(A163,[1]Sheet1!$A$2:$F$379,3,0)</f>
        <v>37</v>
      </c>
      <c r="S163" s="16">
        <f>VLOOKUP(A163,[1]Sheet1!$A$2:$F$379,4,0)</f>
        <v>47</v>
      </c>
      <c r="T163" s="16">
        <f>VLOOKUP(A163,[1]Sheet1!$A$2:$F$379,5,0)</f>
        <v>420</v>
      </c>
      <c r="U163" s="16"/>
      <c r="V163" s="16"/>
      <c r="W163" s="16"/>
      <c r="X163" s="16"/>
      <c r="Y163" s="18" t="s">
        <v>1308</v>
      </c>
      <c r="Z163" s="22"/>
    </row>
    <row r="164" spans="1:26" s="18" customFormat="1" x14ac:dyDescent="0.25">
      <c r="A164" s="13" t="s">
        <v>960</v>
      </c>
      <c r="B164" s="14">
        <f>VLOOKUP(A164,[1]Sheet1!$A$2:$F$379,2,0)</f>
        <v>8975170170</v>
      </c>
      <c r="C164" s="14" t="s">
        <v>244</v>
      </c>
      <c r="D164" s="14" t="s">
        <v>1250</v>
      </c>
      <c r="E164" s="15">
        <v>123.85</v>
      </c>
      <c r="F164" s="14"/>
      <c r="G164" s="14"/>
      <c r="H164" s="14"/>
      <c r="I164" s="14"/>
      <c r="J164" s="15">
        <f t="shared" si="5"/>
        <v>123.85</v>
      </c>
      <c r="K164" s="14"/>
      <c r="L164" s="14"/>
      <c r="M164" s="15">
        <f t="shared" si="4"/>
        <v>123.85</v>
      </c>
      <c r="N164" s="14" t="str">
        <f>VLOOKUP(A164,[2]Sheet1!$B$4:$F$352,3,0)</f>
        <v>DL2</v>
      </c>
      <c r="O164" s="16">
        <f>VLOOKUP(A164,[2]Sheet1!$B$4:$F$352,4,0)</f>
        <v>7</v>
      </c>
      <c r="P164" s="16"/>
      <c r="Q164" s="16">
        <f>VLOOKUP(A164,[2]Sheet1!$B$4:$F$352,4,0)</f>
        <v>7</v>
      </c>
      <c r="R164" s="17">
        <f>VLOOKUP(A164,[1]Sheet1!$A$2:$F$379,3,0)</f>
        <v>14</v>
      </c>
      <c r="S164" s="16">
        <f>VLOOKUP(A164,[1]Sheet1!$A$2:$F$379,4,0)</f>
        <v>22.5</v>
      </c>
      <c r="T164" s="16" t="str">
        <f>VLOOKUP(A164,[1]Sheet1!$A$2:$F$379,5,0)</f>
        <v>400±2</v>
      </c>
      <c r="U164" s="16" t="str">
        <f>VLOOKUP(A164,[1]Sheet1!$A$2:$F$379,6,0)</f>
        <v>360-369</v>
      </c>
      <c r="V164" s="16"/>
      <c r="W164" s="16"/>
      <c r="X164" s="16"/>
      <c r="Y164" s="18" t="e">
        <f>VLOOKUP(A164,[3]Combi!$A$1:$B$304,2,0)</f>
        <v>#N/A</v>
      </c>
      <c r="Z164" s="22" t="s">
        <v>1291</v>
      </c>
    </row>
    <row r="165" spans="1:26" s="18" customFormat="1" x14ac:dyDescent="0.25">
      <c r="A165" s="13" t="s">
        <v>972</v>
      </c>
      <c r="B165" s="14" t="str">
        <f>VLOOKUP(A165,[1]Sheet1!$A$2:$F$379,2,0)</f>
        <v>0098093800</v>
      </c>
      <c r="C165" s="14" t="s">
        <v>272</v>
      </c>
      <c r="D165" s="14" t="s">
        <v>1224</v>
      </c>
      <c r="E165" s="15">
        <v>24.44</v>
      </c>
      <c r="F165" s="14" t="s">
        <v>1225</v>
      </c>
      <c r="G165" s="15">
        <v>28.04</v>
      </c>
      <c r="H165" s="14" t="s">
        <v>1226</v>
      </c>
      <c r="I165" s="15">
        <v>23.58</v>
      </c>
      <c r="J165" s="15">
        <f t="shared" si="5"/>
        <v>76.06</v>
      </c>
      <c r="K165" s="14" t="s">
        <v>1264</v>
      </c>
      <c r="L165" s="15">
        <v>2.09</v>
      </c>
      <c r="M165" s="15">
        <f t="shared" si="4"/>
        <v>78.149999999999991</v>
      </c>
      <c r="N165" s="14" t="str">
        <f>VLOOKUP(A165,[2]Sheet1!$B$4:$F$352,3,0)</f>
        <v>CHS3L</v>
      </c>
      <c r="O165" s="16">
        <f>VLOOKUP(A165,[2]Sheet1!$B$4:$F$352,4,0)</f>
        <v>2</v>
      </c>
      <c r="P165" s="16"/>
      <c r="Q165" s="16">
        <f>VLOOKUP(A165,[2]Sheet1!$B$4:$F$352,4,0)</f>
        <v>2</v>
      </c>
      <c r="R165" s="17">
        <f>VLOOKUP(A165,[1]Sheet1!$A$2:$F$379,3,0)</f>
        <v>9.5</v>
      </c>
      <c r="S165" s="16">
        <f>VLOOKUP(A165,[1]Sheet1!$A$2:$F$379,4,0)</f>
        <v>17</v>
      </c>
      <c r="T165" s="16">
        <f>VLOOKUP(A165,[1]Sheet1!$A$2:$F$379,5,0)</f>
        <v>430</v>
      </c>
      <c r="U165" s="16" t="str">
        <f>VLOOKUP(A165,[1]Sheet1!$A$2:$F$379,6,0)</f>
        <v>424±2</v>
      </c>
      <c r="V165" s="16"/>
      <c r="W165" s="16"/>
      <c r="X165" s="16"/>
      <c r="Y165" s="18" t="e">
        <f>VLOOKUP(A165,[3]Combi!$A$1:$B$304,2,0)</f>
        <v>#N/A</v>
      </c>
      <c r="Z165" s="22" t="s">
        <v>1291</v>
      </c>
    </row>
    <row r="166" spans="1:26" s="18" customFormat="1" x14ac:dyDescent="0.25">
      <c r="A166" s="13" t="s">
        <v>971</v>
      </c>
      <c r="B166" s="14">
        <f>VLOOKUP(A166,[1]Sheet1!$A$2:$F$379,2,0)</f>
        <v>8975177101</v>
      </c>
      <c r="C166" s="14" t="s">
        <v>270</v>
      </c>
      <c r="D166" s="14" t="s">
        <v>1248</v>
      </c>
      <c r="E166" s="15">
        <v>29.06</v>
      </c>
      <c r="F166" s="14" t="s">
        <v>1249</v>
      </c>
      <c r="G166" s="15">
        <v>96.86</v>
      </c>
      <c r="H166" s="14"/>
      <c r="I166" s="14"/>
      <c r="J166" s="15">
        <f t="shared" si="5"/>
        <v>125.92</v>
      </c>
      <c r="K166" s="14" t="s">
        <v>1263</v>
      </c>
      <c r="L166" s="15">
        <v>4.0599999999999996</v>
      </c>
      <c r="M166" s="15">
        <f t="shared" si="4"/>
        <v>129.97999999999999</v>
      </c>
      <c r="N166" s="14" t="str">
        <f>VLOOKUP(A166,[2]Sheet1!$B$4:$F$352,3,0)</f>
        <v>CHS3L</v>
      </c>
      <c r="O166" s="16">
        <f>VLOOKUP(A166,[2]Sheet1!$B$4:$F$352,4,0)</f>
        <v>1</v>
      </c>
      <c r="P166" s="16"/>
      <c r="Q166" s="16">
        <f>VLOOKUP(A166,[2]Sheet1!$B$4:$F$352,4,0)</f>
        <v>1</v>
      </c>
      <c r="R166" s="17">
        <f>VLOOKUP(A166,[1]Sheet1!$A$2:$F$379,3,0)</f>
        <v>9.3000000000000007</v>
      </c>
      <c r="S166" s="16">
        <f>VLOOKUP(A166,[1]Sheet1!$A$2:$F$379,4,0)</f>
        <v>16.5</v>
      </c>
      <c r="T166" s="16">
        <f>VLOOKUP(A166,[1]Sheet1!$A$2:$F$379,5,0)</f>
        <v>630</v>
      </c>
      <c r="U166" s="16" t="str">
        <f>VLOOKUP(A166,[1]Sheet1!$A$2:$F$379,6,0)</f>
        <v>611±2</v>
      </c>
      <c r="V166" s="16"/>
      <c r="W166" s="16"/>
      <c r="X166" s="16"/>
      <c r="Y166" s="18" t="str">
        <f>VLOOKUP(A166,[3]Combi!$A$1:$B$304,2,0)</f>
        <v>SOP/PROD/HOSE/SPS/3/13</v>
      </c>
    </row>
    <row r="167" spans="1:26" s="18" customFormat="1" x14ac:dyDescent="0.25">
      <c r="A167" s="13" t="s">
        <v>966</v>
      </c>
      <c r="B167" s="14" t="str">
        <f>VLOOKUP(A167,[1]Sheet1!$A$2:$F$379,2,0)</f>
        <v>'0018052200</v>
      </c>
      <c r="C167" s="14" t="s">
        <v>258</v>
      </c>
      <c r="D167" s="14" t="s">
        <v>1248</v>
      </c>
      <c r="E167" s="15">
        <v>4.3</v>
      </c>
      <c r="F167" s="14" t="s">
        <v>1249</v>
      </c>
      <c r="G167" s="15">
        <v>28.44</v>
      </c>
      <c r="H167" s="14"/>
      <c r="I167" s="14"/>
      <c r="J167" s="15">
        <f t="shared" si="5"/>
        <v>32.74</v>
      </c>
      <c r="K167" s="14" t="s">
        <v>1267</v>
      </c>
      <c r="L167" s="15">
        <v>1.68</v>
      </c>
      <c r="M167" s="15">
        <f t="shared" si="4"/>
        <v>34.42</v>
      </c>
      <c r="N167" s="14" t="str">
        <f>VLOOKUP(A167,[2]Sheet1!$B$4:$F$352,3,0)</f>
        <v>CHS3L</v>
      </c>
      <c r="O167" s="16">
        <f>VLOOKUP(A167,[2]Sheet1!$B$4:$F$352,4,0)</f>
        <v>1</v>
      </c>
      <c r="P167" s="16"/>
      <c r="Q167" s="16">
        <f>VLOOKUP(A167,[2]Sheet1!$B$4:$F$352,4,0)</f>
        <v>1</v>
      </c>
      <c r="R167" s="17">
        <f>VLOOKUP(A167,[1]Sheet1!$A$2:$F$379,3,0)</f>
        <v>5.8</v>
      </c>
      <c r="S167" s="16">
        <f>VLOOKUP(A167,[1]Sheet1!$A$2:$F$379,4,0)</f>
        <v>12.2</v>
      </c>
      <c r="T167" s="16">
        <f>VLOOKUP(A167,[1]Sheet1!$A$2:$F$379,5,0)</f>
        <v>470</v>
      </c>
      <c r="U167" s="16" t="str">
        <f>VLOOKUP(A167,[1]Sheet1!$A$2:$F$379,6,0)</f>
        <v>468±2</v>
      </c>
      <c r="V167" s="16"/>
      <c r="W167" s="16"/>
      <c r="X167" s="16"/>
      <c r="Y167" s="18" t="str">
        <f>VLOOKUP(A167,[3]Combi!$A$1:$B$304,2,0)</f>
        <v>SOP/PROD/HOSE/SPS/3/15</v>
      </c>
    </row>
    <row r="168" spans="1:26" s="18" customFormat="1" x14ac:dyDescent="0.25">
      <c r="A168" s="13" t="s">
        <v>1004</v>
      </c>
      <c r="B168" s="14">
        <f>VLOOKUP(A168,[1]Sheet1!$A$2:$F$379,2,0)</f>
        <v>8975480410</v>
      </c>
      <c r="C168" s="14" t="s">
        <v>348</v>
      </c>
      <c r="D168" s="14" t="s">
        <v>1248</v>
      </c>
      <c r="E168" s="15">
        <v>14.53</v>
      </c>
      <c r="F168" s="14" t="s">
        <v>1249</v>
      </c>
      <c r="G168" s="15">
        <v>44.23</v>
      </c>
      <c r="H168" s="14"/>
      <c r="I168" s="14"/>
      <c r="J168" s="15">
        <f t="shared" si="5"/>
        <v>58.76</v>
      </c>
      <c r="K168" s="14" t="s">
        <v>1263</v>
      </c>
      <c r="L168" s="15">
        <v>1.89</v>
      </c>
      <c r="M168" s="15">
        <f t="shared" si="4"/>
        <v>60.65</v>
      </c>
      <c r="N168" s="14" t="str">
        <f>VLOOKUP(A168,[2]Sheet1!$B$4:$F$352,3,0)</f>
        <v>CHS3L</v>
      </c>
      <c r="O168" s="16">
        <f>VLOOKUP(A168,[2]Sheet1!$B$4:$F$352,4,0)</f>
        <v>1</v>
      </c>
      <c r="P168" s="16"/>
      <c r="Q168" s="16">
        <f>VLOOKUP(A168,[2]Sheet1!$B$4:$F$352,4,0)</f>
        <v>1</v>
      </c>
      <c r="R168" s="17">
        <f>VLOOKUP(A168,[1]Sheet1!$A$2:$F$379,3,0)</f>
        <v>9.3000000000000007</v>
      </c>
      <c r="S168" s="16">
        <f>VLOOKUP(A168,[1]Sheet1!$A$2:$F$379,4,0)</f>
        <v>16.5</v>
      </c>
      <c r="T168" s="16">
        <f>VLOOKUP(A168,[1]Sheet1!$A$2:$F$379,5,0)</f>
        <v>283</v>
      </c>
      <c r="U168" s="16" t="str">
        <f>VLOOKUP(A168,[1]Sheet1!$A$2:$F$379,6,0)</f>
        <v>282±2</v>
      </c>
      <c r="V168" s="16"/>
      <c r="W168" s="16"/>
      <c r="X168" s="16"/>
      <c r="Y168" s="18" t="str">
        <f>VLOOKUP(A168,[3]Combi!$A$1:$B$304,2,0)</f>
        <v>SOP/PROD/HOSE/SPS/3/13</v>
      </c>
    </row>
    <row r="169" spans="1:26" s="18" customFormat="1" x14ac:dyDescent="0.25">
      <c r="A169" s="13" t="s">
        <v>977</v>
      </c>
      <c r="B169" s="14">
        <f>VLOOKUP(A169,[1]Sheet1!$A$2:$F$379,2,0)</f>
        <v>8975177091</v>
      </c>
      <c r="C169" s="14" t="s">
        <v>291</v>
      </c>
      <c r="D169" s="14" t="s">
        <v>1248</v>
      </c>
      <c r="E169" s="15">
        <v>13.03</v>
      </c>
      <c r="F169" s="14" t="s">
        <v>1249</v>
      </c>
      <c r="G169" s="15">
        <v>41.63</v>
      </c>
      <c r="H169" s="14"/>
      <c r="I169" s="14"/>
      <c r="J169" s="15">
        <f t="shared" si="5"/>
        <v>54.660000000000004</v>
      </c>
      <c r="K169" s="14" t="s">
        <v>1263</v>
      </c>
      <c r="L169" s="15">
        <v>1.82</v>
      </c>
      <c r="M169" s="15">
        <f t="shared" si="4"/>
        <v>56.480000000000004</v>
      </c>
      <c r="N169" s="14" t="str">
        <f>VLOOKUP(A169,[2]Sheet1!$B$4:$F$352,3,0)</f>
        <v>CHS3L</v>
      </c>
      <c r="O169" s="16">
        <f>VLOOKUP(A169,[2]Sheet1!$B$4:$F$352,4,0)</f>
        <v>1</v>
      </c>
      <c r="P169" s="16"/>
      <c r="Q169" s="16">
        <f>VLOOKUP(A169,[2]Sheet1!$B$4:$F$352,4,0)</f>
        <v>1</v>
      </c>
      <c r="R169" s="17">
        <f>VLOOKUP(A169,[1]Sheet1!$A$2:$F$379,3,0)</f>
        <v>9.3000000000000007</v>
      </c>
      <c r="S169" s="16">
        <f>VLOOKUP(A169,[1]Sheet1!$A$2:$F$379,4,0)</f>
        <v>16.5</v>
      </c>
      <c r="T169" s="16">
        <f>VLOOKUP(A169,[1]Sheet1!$A$2:$F$379,5,0)</f>
        <v>240</v>
      </c>
      <c r="U169" s="16" t="str">
        <f>VLOOKUP(A169,[1]Sheet1!$A$2:$F$379,6,0)</f>
        <v>238±2</v>
      </c>
      <c r="V169" s="16"/>
      <c r="W169" s="16"/>
      <c r="X169" s="16"/>
      <c r="Y169" s="18" t="str">
        <f>VLOOKUP(A169,[3]Combi!$A$1:$B$304,2,0)</f>
        <v>SOP/PROD/HOSE/SPS/3/13</v>
      </c>
    </row>
    <row r="170" spans="1:26" s="18" customFormat="1" x14ac:dyDescent="0.25">
      <c r="A170" s="13" t="s">
        <v>1046</v>
      </c>
      <c r="B170" s="14">
        <f>VLOOKUP(A170,[1]Sheet1!$A$2:$F$379,2,0)</f>
        <v>8976639890</v>
      </c>
      <c r="C170" s="14" t="s">
        <v>452</v>
      </c>
      <c r="D170" s="14" t="s">
        <v>1248</v>
      </c>
      <c r="E170" s="15">
        <v>25.23</v>
      </c>
      <c r="F170" s="14" t="s">
        <v>1249</v>
      </c>
      <c r="G170" s="15">
        <v>67.150000000000006</v>
      </c>
      <c r="H170" s="14"/>
      <c r="I170" s="14"/>
      <c r="J170" s="15">
        <f t="shared" si="5"/>
        <v>92.38000000000001</v>
      </c>
      <c r="K170" s="14" t="s">
        <v>1263</v>
      </c>
      <c r="L170" s="15">
        <v>4.34</v>
      </c>
      <c r="M170" s="15">
        <f t="shared" si="4"/>
        <v>96.720000000000013</v>
      </c>
      <c r="N170" s="14" t="str">
        <f>VLOOKUP(A170,[2]Sheet1!$B$4:$F$352,3,0)</f>
        <v>CHS3L</v>
      </c>
      <c r="O170" s="16">
        <f>VLOOKUP(A170,[2]Sheet1!$B$4:$F$352,4,0)</f>
        <v>1</v>
      </c>
      <c r="P170" s="16"/>
      <c r="Q170" s="16">
        <f>VLOOKUP(A170,[2]Sheet1!$B$4:$F$352,4,0)</f>
        <v>1</v>
      </c>
      <c r="R170" s="17">
        <f>VLOOKUP(A170,[1]Sheet1!$A$2:$F$379,3,0)</f>
        <v>9.3000000000000007</v>
      </c>
      <c r="S170" s="16">
        <f>VLOOKUP(A170,[1]Sheet1!$A$2:$F$379,4,0)</f>
        <v>16.5</v>
      </c>
      <c r="T170" s="16">
        <f>VLOOKUP(A170,[1]Sheet1!$A$2:$F$379,5,0)</f>
        <v>655</v>
      </c>
      <c r="U170" s="16" t="str">
        <f>VLOOKUP(A170,[1]Sheet1!$A$2:$F$379,6,0)</f>
        <v>LOYANG</v>
      </c>
      <c r="V170" s="16"/>
      <c r="W170" s="16"/>
      <c r="X170" s="16"/>
      <c r="Y170" s="18" t="str">
        <f>VLOOKUP(A170,[3]Combi!$A$1:$B$304,2,0)</f>
        <v>SOP/PROD/HOSE/SPS/3/13</v>
      </c>
    </row>
    <row r="171" spans="1:26" s="18" customFormat="1" x14ac:dyDescent="0.25">
      <c r="A171" s="13" t="s">
        <v>1046</v>
      </c>
      <c r="B171" s="14">
        <f>VLOOKUP(A171,[1]Sheet1!$A$2:$F$379,2,0)</f>
        <v>8976639890</v>
      </c>
      <c r="C171" s="14" t="s">
        <v>452</v>
      </c>
      <c r="D171" s="14" t="s">
        <v>1248</v>
      </c>
      <c r="E171" s="15">
        <v>22.19</v>
      </c>
      <c r="F171" s="14" t="s">
        <v>1232</v>
      </c>
      <c r="G171" s="15">
        <v>52.96</v>
      </c>
      <c r="H171" s="14" t="s">
        <v>1233</v>
      </c>
      <c r="I171" s="15">
        <v>68.95</v>
      </c>
      <c r="J171" s="15">
        <f t="shared" si="5"/>
        <v>144.10000000000002</v>
      </c>
      <c r="K171" s="14" t="s">
        <v>1263</v>
      </c>
      <c r="L171" s="15">
        <v>4.13</v>
      </c>
      <c r="M171" s="15">
        <f t="shared" si="4"/>
        <v>148.22999999999999</v>
      </c>
      <c r="N171" s="14" t="str">
        <f>VLOOKUP(A171,[2]Sheet1!$B$4:$F$352,3,0)</f>
        <v>CHS3L</v>
      </c>
      <c r="O171" s="16">
        <f>VLOOKUP(A171,[2]Sheet1!$B$4:$F$352,4,0)</f>
        <v>1</v>
      </c>
      <c r="P171" s="16"/>
      <c r="Q171" s="16">
        <f>VLOOKUP(A171,[2]Sheet1!$B$4:$F$352,4,0)</f>
        <v>1</v>
      </c>
      <c r="R171" s="17">
        <f>VLOOKUP(A171,[1]Sheet1!$A$2:$F$379,3,0)</f>
        <v>9.3000000000000007</v>
      </c>
      <c r="S171" s="16">
        <f>VLOOKUP(A171,[1]Sheet1!$A$2:$F$379,4,0)</f>
        <v>16.5</v>
      </c>
      <c r="T171" s="16">
        <f>VLOOKUP(A171,[1]Sheet1!$A$2:$F$379,5,0)</f>
        <v>655</v>
      </c>
      <c r="U171" s="16" t="str">
        <f>VLOOKUP(A171,[1]Sheet1!$A$2:$F$379,6,0)</f>
        <v>LOYANG</v>
      </c>
      <c r="V171" s="16"/>
      <c r="W171" s="16"/>
      <c r="X171" s="16"/>
      <c r="Y171" s="18" t="str">
        <f>VLOOKUP(A171,[3]Combi!$A$1:$B$304,2,0)</f>
        <v>SOP/PROD/HOSE/SPS/3/13</v>
      </c>
    </row>
    <row r="172" spans="1:26" s="18" customFormat="1" x14ac:dyDescent="0.25">
      <c r="A172" s="13" t="s">
        <v>1041</v>
      </c>
      <c r="B172" s="14">
        <f>VLOOKUP(A172,[1]Sheet1!$A$2:$F$379,2,0)</f>
        <v>8976639900</v>
      </c>
      <c r="C172" s="14" t="s">
        <v>441</v>
      </c>
      <c r="D172" s="14" t="s">
        <v>1248</v>
      </c>
      <c r="E172" s="15">
        <v>7.7</v>
      </c>
      <c r="F172" s="14" t="s">
        <v>1249</v>
      </c>
      <c r="G172" s="15">
        <v>50.96</v>
      </c>
      <c r="H172" s="14"/>
      <c r="I172" s="14"/>
      <c r="J172" s="15">
        <f t="shared" si="5"/>
        <v>58.660000000000004</v>
      </c>
      <c r="K172" s="14" t="s">
        <v>1267</v>
      </c>
      <c r="L172" s="15">
        <v>3.01</v>
      </c>
      <c r="M172" s="15">
        <f t="shared" si="4"/>
        <v>61.67</v>
      </c>
      <c r="N172" s="14" t="str">
        <f>VLOOKUP(A172,[2]Sheet1!$B$4:$F$352,3,0)</f>
        <v>CHS3L</v>
      </c>
      <c r="O172" s="16">
        <f>VLOOKUP(A172,[2]Sheet1!$B$4:$F$352,4,0)</f>
        <v>1</v>
      </c>
      <c r="P172" s="16"/>
      <c r="Q172" s="16">
        <f>VLOOKUP(A172,[2]Sheet1!$B$4:$F$352,4,0)</f>
        <v>1</v>
      </c>
      <c r="R172" s="17">
        <f>VLOOKUP(A172,[1]Sheet1!$A$2:$F$379,3,0)</f>
        <v>5.8</v>
      </c>
      <c r="S172" s="16">
        <f>VLOOKUP(A172,[1]Sheet1!$A$2:$F$379,4,0)</f>
        <v>12.2</v>
      </c>
      <c r="T172" s="16">
        <f>VLOOKUP(A172,[1]Sheet1!$A$2:$F$379,5,0)</f>
        <v>460</v>
      </c>
      <c r="U172" s="16" t="str">
        <f>VLOOKUP(A172,[1]Sheet1!$A$2:$F$379,6,0)</f>
        <v>458±1</v>
      </c>
      <c r="V172" s="16"/>
      <c r="W172" s="16"/>
      <c r="X172" s="16"/>
      <c r="Y172" s="18" t="str">
        <f>VLOOKUP(A172,[3]Combi!$A$1:$B$304,2,0)</f>
        <v>SOP/PROD/HOSE/SPS/3/15</v>
      </c>
    </row>
    <row r="173" spans="1:26" s="18" customFormat="1" x14ac:dyDescent="0.25">
      <c r="A173" s="13" t="s">
        <v>980</v>
      </c>
      <c r="B173" s="14">
        <f>VLOOKUP(A173,[1]Sheet1!$A$2:$F$379,2,0)</f>
        <v>8983530511</v>
      </c>
      <c r="C173" s="14" t="s">
        <v>297</v>
      </c>
      <c r="D173" s="14" t="s">
        <v>1248</v>
      </c>
      <c r="E173" s="15">
        <v>65.819999999999993</v>
      </c>
      <c r="F173" s="14" t="s">
        <v>1249</v>
      </c>
      <c r="G173" s="15">
        <v>219.56</v>
      </c>
      <c r="H173" s="14"/>
      <c r="I173" s="14"/>
      <c r="J173" s="15">
        <f t="shared" si="5"/>
        <v>285.38</v>
      </c>
      <c r="K173" s="14" t="s">
        <v>1263</v>
      </c>
      <c r="L173" s="15">
        <v>7.28</v>
      </c>
      <c r="M173" s="15">
        <f t="shared" si="4"/>
        <v>292.65999999999997</v>
      </c>
      <c r="N173" s="14" t="str">
        <f>VLOOKUP(A173,[2]Sheet1!$B$4:$F$352,3,0)</f>
        <v>CHS3L</v>
      </c>
      <c r="O173" s="16">
        <f>VLOOKUP(A173,[2]Sheet1!$B$4:$F$352,4,0)</f>
        <v>1</v>
      </c>
      <c r="P173" s="16"/>
      <c r="Q173" s="16">
        <f>VLOOKUP(A173,[2]Sheet1!$B$4:$F$352,4,0)</f>
        <v>1</v>
      </c>
      <c r="R173" s="17">
        <f>VLOOKUP(A173,[1]Sheet1!$A$2:$F$379,3,0)</f>
        <v>9.3000000000000007</v>
      </c>
      <c r="S173" s="16">
        <f>VLOOKUP(A173,[1]Sheet1!$A$2:$F$379,4,0)</f>
        <v>17</v>
      </c>
      <c r="T173" s="16">
        <f>VLOOKUP(A173,[1]Sheet1!$A$2:$F$379,5,0)</f>
        <v>1105</v>
      </c>
      <c r="U173" s="16" t="str">
        <f>VLOOKUP(A173,[1]Sheet1!$A$2:$F$379,6,0)</f>
        <v>LOYANG</v>
      </c>
      <c r="V173" s="16"/>
      <c r="W173" s="16"/>
      <c r="X173" s="16"/>
      <c r="Y173" s="18" t="str">
        <f>VLOOKUP(A173,[3]Combi!$A$1:$B$304,2,0)</f>
        <v>SOP/PROD/HOSE/SPS/3/13</v>
      </c>
    </row>
    <row r="174" spans="1:26" s="18" customFormat="1" x14ac:dyDescent="0.25">
      <c r="A174" s="13" t="s">
        <v>980</v>
      </c>
      <c r="B174" s="14">
        <f>VLOOKUP(A174,[1]Sheet1!$A$2:$F$379,2,0)</f>
        <v>8983530511</v>
      </c>
      <c r="C174" s="14" t="s">
        <v>297</v>
      </c>
      <c r="D174" s="14" t="s">
        <v>1248</v>
      </c>
      <c r="E174" s="15">
        <v>39.11</v>
      </c>
      <c r="F174" s="14" t="s">
        <v>1232</v>
      </c>
      <c r="G174" s="15">
        <v>93.35</v>
      </c>
      <c r="H174" s="14" t="s">
        <v>1233</v>
      </c>
      <c r="I174" s="15">
        <v>121.5</v>
      </c>
      <c r="J174" s="15">
        <f t="shared" si="5"/>
        <v>253.95999999999998</v>
      </c>
      <c r="K174" s="14" t="s">
        <v>1263</v>
      </c>
      <c r="L174" s="15">
        <v>7.28</v>
      </c>
      <c r="M174" s="15">
        <f t="shared" si="4"/>
        <v>261.24</v>
      </c>
      <c r="N174" s="14" t="str">
        <f>VLOOKUP(A174,[2]Sheet1!$B$4:$F$352,3,0)</f>
        <v>CHS3L</v>
      </c>
      <c r="O174" s="16">
        <f>VLOOKUP(A174,[2]Sheet1!$B$4:$F$352,4,0)</f>
        <v>1</v>
      </c>
      <c r="P174" s="16"/>
      <c r="Q174" s="16">
        <f>VLOOKUP(A174,[2]Sheet1!$B$4:$F$352,4,0)</f>
        <v>1</v>
      </c>
      <c r="R174" s="17">
        <f>VLOOKUP(A174,[1]Sheet1!$A$2:$F$379,3,0)</f>
        <v>9.3000000000000007</v>
      </c>
      <c r="S174" s="16">
        <f>VLOOKUP(A174,[1]Sheet1!$A$2:$F$379,4,0)</f>
        <v>17</v>
      </c>
      <c r="T174" s="16">
        <f>VLOOKUP(A174,[1]Sheet1!$A$2:$F$379,5,0)</f>
        <v>1105</v>
      </c>
      <c r="U174" s="16" t="str">
        <f>VLOOKUP(A174,[1]Sheet1!$A$2:$F$379,6,0)</f>
        <v>LOYANG</v>
      </c>
      <c r="V174" s="16"/>
      <c r="W174" s="16"/>
      <c r="X174" s="16"/>
      <c r="Y174" s="18" t="str">
        <f>VLOOKUP(A174,[3]Combi!$A$1:$B$304,2,0)</f>
        <v>SOP/PROD/HOSE/SPS/3/13</v>
      </c>
    </row>
    <row r="175" spans="1:26" s="18" customFormat="1" x14ac:dyDescent="0.25">
      <c r="A175" s="13" t="s">
        <v>1006</v>
      </c>
      <c r="B175" s="14">
        <f>VLOOKUP(A175,[1]Sheet1!$A$2:$F$379,2,0)</f>
        <v>8983530501</v>
      </c>
      <c r="C175" s="14" t="s">
        <v>356</v>
      </c>
      <c r="D175" s="14" t="s">
        <v>1248</v>
      </c>
      <c r="E175" s="15">
        <v>31.32</v>
      </c>
      <c r="F175" s="14" t="s">
        <v>1249</v>
      </c>
      <c r="G175" s="15">
        <v>104.48</v>
      </c>
      <c r="H175" s="14"/>
      <c r="I175" s="14"/>
      <c r="J175" s="15">
        <f t="shared" si="5"/>
        <v>135.80000000000001</v>
      </c>
      <c r="K175" s="14" t="s">
        <v>1263</v>
      </c>
      <c r="L175" s="15">
        <v>3.29</v>
      </c>
      <c r="M175" s="15">
        <f t="shared" si="4"/>
        <v>139.09</v>
      </c>
      <c r="N175" s="14" t="str">
        <f>VLOOKUP(A175,[2]Sheet1!$B$4:$F$352,3,0)</f>
        <v>CHS3L</v>
      </c>
      <c r="O175" s="16">
        <f>VLOOKUP(A175,[2]Sheet1!$B$4:$F$352,4,0)</f>
        <v>1</v>
      </c>
      <c r="P175" s="16"/>
      <c r="Q175" s="16">
        <f>VLOOKUP(A175,[2]Sheet1!$B$4:$F$352,4,0)</f>
        <v>1</v>
      </c>
      <c r="R175" s="17">
        <f>VLOOKUP(A175,[1]Sheet1!$A$2:$F$379,3,0)</f>
        <v>9.3000000000000007</v>
      </c>
      <c r="S175" s="16">
        <f>VLOOKUP(A175,[1]Sheet1!$A$2:$F$379,4,0)</f>
        <v>17</v>
      </c>
      <c r="T175" s="16">
        <f>VLOOKUP(A175,[1]Sheet1!$A$2:$F$379,5,0)</f>
        <v>535</v>
      </c>
      <c r="U175" s="16"/>
      <c r="V175" s="16"/>
      <c r="W175" s="16"/>
      <c r="X175" s="16"/>
      <c r="Y175" s="18" t="str">
        <f>VLOOKUP(A175,[3]Combi!$A$1:$B$304,2,0)</f>
        <v>SOP/PROD/HOSE/SPS/3/13</v>
      </c>
    </row>
    <row r="176" spans="1:26" s="18" customFormat="1" x14ac:dyDescent="0.25">
      <c r="A176" s="13" t="s">
        <v>992</v>
      </c>
      <c r="B176" s="14">
        <f>VLOOKUP(A176,[1]Sheet1!$A$2:$F$379,2,0)</f>
        <v>8982058730</v>
      </c>
      <c r="C176" s="14" t="s">
        <v>323</v>
      </c>
      <c r="D176" s="14" t="s">
        <v>1220</v>
      </c>
      <c r="E176" s="15">
        <v>97.72</v>
      </c>
      <c r="F176" s="14"/>
      <c r="G176" s="14"/>
      <c r="H176" s="14"/>
      <c r="I176" s="14"/>
      <c r="J176" s="15">
        <f t="shared" si="5"/>
        <v>97.72</v>
      </c>
      <c r="K176" s="14" t="s">
        <v>1263</v>
      </c>
      <c r="L176" s="15">
        <v>0.12</v>
      </c>
      <c r="M176" s="15">
        <f t="shared" si="4"/>
        <v>97.84</v>
      </c>
      <c r="N176" s="14" t="str">
        <f>VLOOKUP(A176,[2]Sheet1!$B$4:$F$352,3,0)</f>
        <v>CHS2L</v>
      </c>
      <c r="O176" s="16">
        <f>VLOOKUP(A176,[2]Sheet1!$B$4:$F$352,4,0)</f>
        <v>7</v>
      </c>
      <c r="P176" s="16"/>
      <c r="Q176" s="16">
        <f>VLOOKUP(A176,[2]Sheet1!$B$4:$F$352,4,0)</f>
        <v>7</v>
      </c>
      <c r="R176" s="17">
        <f>VLOOKUP(A176,[1]Sheet1!$A$2:$F$379,3,0)</f>
        <v>11</v>
      </c>
      <c r="S176" s="16">
        <f>VLOOKUP(A176,[1]Sheet1!$A$2:$F$379,4,0)</f>
        <v>19.5</v>
      </c>
      <c r="T176" s="16">
        <f>VLOOKUP(A176,[1]Sheet1!$A$2:$F$379,5,0)</f>
        <v>420</v>
      </c>
      <c r="U176" s="16"/>
      <c r="V176" s="16"/>
      <c r="W176" s="16"/>
      <c r="X176" s="16"/>
      <c r="Y176" s="18" t="e">
        <f>VLOOKUP(A176,[3]Combi!$A$1:$B$304,2,0)</f>
        <v>#N/A</v>
      </c>
      <c r="Z176" s="22" t="s">
        <v>1291</v>
      </c>
    </row>
    <row r="177" spans="1:26" s="18" customFormat="1" x14ac:dyDescent="0.25">
      <c r="A177" s="13" t="s">
        <v>1032</v>
      </c>
      <c r="B177" s="14">
        <f>VLOOKUP(A177,[1]Sheet1!$A$2:$F$379,2,0)</f>
        <v>8982058730</v>
      </c>
      <c r="C177" s="14" t="s">
        <v>416</v>
      </c>
      <c r="D177" s="14" t="s">
        <v>1236</v>
      </c>
      <c r="E177" s="15">
        <v>129.81</v>
      </c>
      <c r="F177" s="14" t="s">
        <v>1236</v>
      </c>
      <c r="G177" s="15">
        <v>147.49</v>
      </c>
      <c r="H177" s="14"/>
      <c r="I177" s="14"/>
      <c r="J177" s="15">
        <f t="shared" si="5"/>
        <v>277.3</v>
      </c>
      <c r="K177" s="14" t="s">
        <v>1266</v>
      </c>
      <c r="L177" s="15">
        <v>8.07</v>
      </c>
      <c r="M177" s="15">
        <f t="shared" si="4"/>
        <v>285.37</v>
      </c>
      <c r="N177" s="14" t="str">
        <f>VLOOKUP(A177,[2]Sheet1!$B$4:$F$352,3,0)</f>
        <v>CHS2L</v>
      </c>
      <c r="O177" s="16">
        <f>VLOOKUP(A177,[2]Sheet1!$B$4:$F$352,4,0)</f>
        <v>0</v>
      </c>
      <c r="P177" s="16"/>
      <c r="Q177" s="16">
        <f>VLOOKUP(A177,[2]Sheet1!$B$4:$F$352,4,0)</f>
        <v>0</v>
      </c>
      <c r="R177" s="17">
        <f>VLOOKUP(A177,[1]Sheet1!$A$2:$F$379,3,0)</f>
        <v>37</v>
      </c>
      <c r="S177" s="16">
        <f>VLOOKUP(A177,[1]Sheet1!$A$2:$F$379,4,0)</f>
        <v>47</v>
      </c>
      <c r="T177" s="16">
        <f>VLOOKUP(A177,[1]Sheet1!$A$2:$F$379,5,0)</f>
        <v>437</v>
      </c>
      <c r="U177" s="16"/>
      <c r="V177" s="16"/>
      <c r="W177" s="16"/>
      <c r="X177" s="16"/>
      <c r="Y177" s="18" t="str">
        <f>VLOOKUP(A177,[3]Combi!$A$1:$B$304,2,0)</f>
        <v>SOP/PROD/HOSE/SPS/2/19</v>
      </c>
    </row>
    <row r="178" spans="1:26" s="18" customFormat="1" x14ac:dyDescent="0.25">
      <c r="A178" s="13" t="s">
        <v>1037</v>
      </c>
      <c r="B178" s="14">
        <f>VLOOKUP(A178,[1]Sheet1!$A$2:$F$379,2,0)</f>
        <v>8983363550</v>
      </c>
      <c r="C178" s="14" t="s">
        <v>426</v>
      </c>
      <c r="D178" s="14" t="s">
        <v>1248</v>
      </c>
      <c r="E178" s="15">
        <v>35.299999999999997</v>
      </c>
      <c r="F178" s="14" t="s">
        <v>1249</v>
      </c>
      <c r="G178" s="15">
        <v>67.81</v>
      </c>
      <c r="H178" s="14"/>
      <c r="I178" s="14"/>
      <c r="J178" s="15">
        <f t="shared" si="5"/>
        <v>103.11</v>
      </c>
      <c r="K178" s="14" t="s">
        <v>1263</v>
      </c>
      <c r="L178" s="15">
        <v>1.57</v>
      </c>
      <c r="M178" s="15">
        <f t="shared" si="4"/>
        <v>104.67999999999999</v>
      </c>
      <c r="N178" s="14" t="str">
        <f>VLOOKUP(A178,[2]Sheet1!$B$4:$F$352,3,0)</f>
        <v>CHS3L</v>
      </c>
      <c r="O178" s="16">
        <f>VLOOKUP(A178,[2]Sheet1!$B$4:$F$352,4,0)</f>
        <v>1</v>
      </c>
      <c r="P178" s="16"/>
      <c r="Q178" s="16">
        <f>VLOOKUP(A178,[2]Sheet1!$B$4:$F$352,4,0)</f>
        <v>1</v>
      </c>
      <c r="R178" s="17">
        <f>VLOOKUP(A178,[1]Sheet1!$A$2:$F$379,3,0)</f>
        <v>7.5</v>
      </c>
      <c r="S178" s="16">
        <f>VLOOKUP(A178,[1]Sheet1!$A$2:$F$379,4,0)</f>
        <v>13.5</v>
      </c>
      <c r="T178" s="16">
        <f>VLOOKUP(A178,[1]Sheet1!$A$2:$F$379,5,0)</f>
        <v>765</v>
      </c>
      <c r="U178" s="16" t="str">
        <f>VLOOKUP(A178,[1]Sheet1!$A$2:$F$379,6,0)</f>
        <v>LOYANG</v>
      </c>
      <c r="V178" s="16"/>
      <c r="W178" s="16"/>
      <c r="X178" s="16"/>
      <c r="Y178" s="18" t="e">
        <f>VLOOKUP(A178,[3]Combi!$A$1:$B$304,2,0)</f>
        <v>#N/A</v>
      </c>
      <c r="Z178" s="22" t="s">
        <v>1291</v>
      </c>
    </row>
    <row r="179" spans="1:26" s="18" customFormat="1" x14ac:dyDescent="0.25">
      <c r="A179" s="13" t="s">
        <v>956</v>
      </c>
      <c r="B179" s="14">
        <f>VLOOKUP(A179,[1]Sheet1!$A$2:$F$379,2,0)</f>
        <v>8983095300</v>
      </c>
      <c r="C179" s="14" t="s">
        <v>235</v>
      </c>
      <c r="D179" s="14" t="s">
        <v>1248</v>
      </c>
      <c r="E179" s="15">
        <v>19.940000000000001</v>
      </c>
      <c r="F179" s="14" t="s">
        <v>1249</v>
      </c>
      <c r="G179" s="15">
        <v>53.07</v>
      </c>
      <c r="H179" s="14"/>
      <c r="I179" s="14"/>
      <c r="J179" s="15">
        <f t="shared" si="5"/>
        <v>73.010000000000005</v>
      </c>
      <c r="K179" s="14" t="s">
        <v>1263</v>
      </c>
      <c r="L179" s="15">
        <v>3.43</v>
      </c>
      <c r="M179" s="15">
        <f t="shared" si="4"/>
        <v>76.44</v>
      </c>
      <c r="N179" s="14" t="str">
        <f>VLOOKUP(A179,[2]Sheet1!$B$4:$F$352,3,0)</f>
        <v>CHS3L</v>
      </c>
      <c r="O179" s="16">
        <f>VLOOKUP(A179,[2]Sheet1!$B$4:$F$352,4,0)</f>
        <v>1</v>
      </c>
      <c r="P179" s="16"/>
      <c r="Q179" s="16">
        <f>VLOOKUP(A179,[2]Sheet1!$B$4:$F$352,4,0)</f>
        <v>1</v>
      </c>
      <c r="R179" s="17">
        <f>VLOOKUP(A179,[1]Sheet1!$A$2:$F$379,3,0)</f>
        <v>9.3000000000000007</v>
      </c>
      <c r="S179" s="16">
        <f>VLOOKUP(A179,[1]Sheet1!$A$2:$F$379,4,0)</f>
        <v>17</v>
      </c>
      <c r="T179" s="16">
        <f>VLOOKUP(A179,[1]Sheet1!$A$2:$F$379,5,0)</f>
        <v>505</v>
      </c>
      <c r="U179" s="16">
        <f>VLOOKUP(A179,[1]Sheet1!$A$2:$F$379,6,0)</f>
        <v>500</v>
      </c>
      <c r="V179" s="16"/>
      <c r="W179" s="16"/>
      <c r="X179" s="16"/>
      <c r="Y179" s="18" t="str">
        <f>VLOOKUP(A179,[3]Combi!$A$1:$B$304,2,0)</f>
        <v>SOP/PROD/HOSE/SPS/3/13</v>
      </c>
    </row>
    <row r="180" spans="1:26" s="18" customFormat="1" x14ac:dyDescent="0.25">
      <c r="A180" s="13" t="s">
        <v>984</v>
      </c>
      <c r="B180" s="14" t="str">
        <f>VLOOKUP(A180,[1]Sheet1!$A$2:$F$379,2,0)</f>
        <v>0018053200</v>
      </c>
      <c r="C180" s="14" t="s">
        <v>305</v>
      </c>
      <c r="D180" s="14" t="s">
        <v>1248</v>
      </c>
      <c r="E180" s="15">
        <v>6.09</v>
      </c>
      <c r="F180" s="14" t="s">
        <v>1249</v>
      </c>
      <c r="G180" s="15">
        <v>40.29</v>
      </c>
      <c r="H180" s="14"/>
      <c r="I180" s="14"/>
      <c r="J180" s="15">
        <f t="shared" si="5"/>
        <v>46.379999999999995</v>
      </c>
      <c r="K180" s="14" t="s">
        <v>1267</v>
      </c>
      <c r="L180" s="15">
        <v>2.38</v>
      </c>
      <c r="M180" s="15">
        <f t="shared" si="4"/>
        <v>48.760000000000005</v>
      </c>
      <c r="N180" s="14" t="str">
        <f>VLOOKUP(A180,[2]Sheet1!$B$4:$F$352,3,0)</f>
        <v>CHS3L</v>
      </c>
      <c r="O180" s="16">
        <f>VLOOKUP(A180,[2]Sheet1!$B$4:$F$352,4,0)</f>
        <v>1</v>
      </c>
      <c r="P180" s="16"/>
      <c r="Q180" s="16">
        <f>VLOOKUP(A180,[2]Sheet1!$B$4:$F$352,4,0)</f>
        <v>1</v>
      </c>
      <c r="R180" s="17">
        <f>VLOOKUP(A180,[1]Sheet1!$A$2:$F$379,3,0)</f>
        <v>5.8</v>
      </c>
      <c r="S180" s="16">
        <f>VLOOKUP(A180,[1]Sheet1!$A$2:$F$379,4,0)</f>
        <v>12.2</v>
      </c>
      <c r="T180" s="16">
        <f>VLOOKUP(A180,[1]Sheet1!$A$2:$F$379,5,0)</f>
        <v>380</v>
      </c>
      <c r="U180" s="16" t="str">
        <f>VLOOKUP(A180,[1]Sheet1!$A$2:$F$379,6,0)</f>
        <v>370±2</v>
      </c>
      <c r="V180" s="16"/>
      <c r="W180" s="16"/>
      <c r="X180" s="16"/>
      <c r="Y180" s="18" t="str">
        <f>VLOOKUP(A180,[3]Combi!$A$1:$B$304,2,0)</f>
        <v>SOP/PROD/HOSE/SPS/3/15</v>
      </c>
    </row>
    <row r="181" spans="1:26" s="18" customFormat="1" x14ac:dyDescent="0.25">
      <c r="A181" s="13" t="s">
        <v>1042</v>
      </c>
      <c r="B181" s="14">
        <f>VLOOKUP(A181,[1]Sheet1!$A$2:$F$379,2,0)</f>
        <v>8976560150</v>
      </c>
      <c r="C181" s="14" t="s">
        <v>443</v>
      </c>
      <c r="D181" s="14" t="s">
        <v>1236</v>
      </c>
      <c r="E181" s="15">
        <v>112.66</v>
      </c>
      <c r="F181" s="14" t="s">
        <v>1236</v>
      </c>
      <c r="G181" s="15">
        <v>128</v>
      </c>
      <c r="H181" s="14"/>
      <c r="I181" s="14"/>
      <c r="J181" s="15">
        <f t="shared" si="5"/>
        <v>240.66</v>
      </c>
      <c r="K181" s="14" t="s">
        <v>1266</v>
      </c>
      <c r="L181" s="15">
        <v>7</v>
      </c>
      <c r="M181" s="15">
        <f t="shared" si="4"/>
        <v>247.66</v>
      </c>
      <c r="N181" s="14" t="str">
        <f>VLOOKUP(A181,[2]Sheet1!$B$4:$F$352,3,0)</f>
        <v>CHS2L</v>
      </c>
      <c r="O181" s="16">
        <f>VLOOKUP(A181,[2]Sheet1!$B$4:$F$352,4,0)</f>
        <v>5</v>
      </c>
      <c r="P181" s="16"/>
      <c r="Q181" s="16">
        <f>VLOOKUP(A181,[2]Sheet1!$B$4:$F$352,4,0)</f>
        <v>5</v>
      </c>
      <c r="R181" s="17">
        <f>VLOOKUP(A181,[1]Sheet1!$A$2:$F$379,3,0)</f>
        <v>37</v>
      </c>
      <c r="S181" s="16">
        <f>VLOOKUP(A181,[1]Sheet1!$A$2:$F$379,4,0)</f>
        <v>47</v>
      </c>
      <c r="T181" s="16">
        <f>VLOOKUP(A181,[1]Sheet1!$A$2:$F$379,5,0)</f>
        <v>384</v>
      </c>
      <c r="U181" s="16"/>
      <c r="V181" s="16"/>
      <c r="W181" s="16"/>
      <c r="X181" s="16"/>
      <c r="Y181" s="18" t="str">
        <f>VLOOKUP(A181,[3]Combi!$A$1:$B$304,2,0)</f>
        <v>SOP/PROD/HOSE/SPS/2/19</v>
      </c>
    </row>
    <row r="182" spans="1:26" s="18" customFormat="1" x14ac:dyDescent="0.25">
      <c r="A182" s="13" t="s">
        <v>1029</v>
      </c>
      <c r="B182" s="14">
        <f>VLOOKUP(A182,[1]Sheet1!$A$2:$F$379,2,0)</f>
        <v>8976560180</v>
      </c>
      <c r="C182" s="14" t="s">
        <v>410</v>
      </c>
      <c r="D182" s="14" t="s">
        <v>1237</v>
      </c>
      <c r="E182" s="15">
        <v>151.34</v>
      </c>
      <c r="F182" s="14" t="s">
        <v>1237</v>
      </c>
      <c r="G182" s="15">
        <v>171.95</v>
      </c>
      <c r="H182" s="14"/>
      <c r="I182" s="14"/>
      <c r="J182" s="15">
        <f t="shared" si="5"/>
        <v>323.28999999999996</v>
      </c>
      <c r="K182" s="14" t="s">
        <v>1265</v>
      </c>
      <c r="L182" s="15">
        <v>9.41</v>
      </c>
      <c r="M182" s="15">
        <f t="shared" si="4"/>
        <v>332.7</v>
      </c>
      <c r="N182" s="14" t="str">
        <f>VLOOKUP(A182,[2]Sheet1!$B$4:$F$352,3,0)</f>
        <v>CHS2L</v>
      </c>
      <c r="O182" s="16">
        <f>VLOOKUP(A182,[2]Sheet1!$B$4:$F$352,4,0)</f>
        <v>4</v>
      </c>
      <c r="P182" s="16"/>
      <c r="Q182" s="16">
        <f>VLOOKUP(A182,[2]Sheet1!$B$4:$F$352,4,0)</f>
        <v>4</v>
      </c>
      <c r="R182" s="17">
        <f>VLOOKUP(A182,[1]Sheet1!$A$2:$F$379,3,0)</f>
        <v>37</v>
      </c>
      <c r="S182" s="16">
        <f>VLOOKUP(A182,[1]Sheet1!$A$2:$F$379,4,0)</f>
        <v>47</v>
      </c>
      <c r="T182" s="16">
        <f>VLOOKUP(A182,[1]Sheet1!$A$2:$F$379,5,0)</f>
        <v>509</v>
      </c>
      <c r="U182" s="16" t="str">
        <f>VLOOKUP(A182,[1]Sheet1!$A$2:$F$379,6,0)</f>
        <v>508±1</v>
      </c>
      <c r="V182" s="16"/>
      <c r="W182" s="16"/>
      <c r="X182" s="16"/>
      <c r="Y182" s="18" t="str">
        <f>VLOOKUP(A182,[3]Combi!$A$1:$B$304,2,0)</f>
        <v>SOP/PROD/HOSE/SPS/2/19</v>
      </c>
    </row>
    <row r="183" spans="1:26" s="18" customFormat="1" x14ac:dyDescent="0.25">
      <c r="A183" s="13" t="s">
        <v>954</v>
      </c>
      <c r="B183" s="14" t="str">
        <f>VLOOKUP(A183,[1]Sheet1!$A$2:$F$379,2,0)</f>
        <v>P001691350</v>
      </c>
      <c r="C183" s="14" t="s">
        <v>228</v>
      </c>
      <c r="D183" s="14" t="s">
        <v>1248</v>
      </c>
      <c r="E183" s="15">
        <v>55.15</v>
      </c>
      <c r="F183" s="14" t="s">
        <v>1249</v>
      </c>
      <c r="G183" s="15">
        <v>141.55000000000001</v>
      </c>
      <c r="H183" s="14"/>
      <c r="I183" s="14"/>
      <c r="J183" s="15">
        <f t="shared" si="5"/>
        <v>196.70000000000002</v>
      </c>
      <c r="K183" s="14" t="s">
        <v>1267</v>
      </c>
      <c r="L183" s="15">
        <v>9.49</v>
      </c>
      <c r="M183" s="15">
        <f t="shared" si="4"/>
        <v>206.19000000000003</v>
      </c>
      <c r="N183" s="14" t="str">
        <f>VLOOKUP(A183,[2]Sheet1!$B$4:$F$352,3,0)</f>
        <v>CHS3L</v>
      </c>
      <c r="O183" s="16">
        <f>VLOOKUP(A183,[2]Sheet1!$B$4:$F$352,4,0)</f>
        <v>1</v>
      </c>
      <c r="P183" s="16"/>
      <c r="Q183" s="16">
        <f>VLOOKUP(A183,[2]Sheet1!$B$4:$F$352,4,0)</f>
        <v>1</v>
      </c>
      <c r="R183" s="17">
        <f>VLOOKUP(A183,[1]Sheet1!$A$2:$F$379,3,0)</f>
        <v>9.3000000000000007</v>
      </c>
      <c r="S183" s="16">
        <f>VLOOKUP(A183,[1]Sheet1!$A$2:$F$379,4,0)</f>
        <v>17</v>
      </c>
      <c r="T183" s="16">
        <f>VLOOKUP(A183,[1]Sheet1!$A$2:$F$379,5,0)</f>
        <v>1415</v>
      </c>
      <c r="U183" s="16" t="str">
        <f>VLOOKUP(A183,[1]Sheet1!$A$2:$F$379,6,0)</f>
        <v>LOYANG</v>
      </c>
      <c r="V183" s="16"/>
      <c r="W183" s="16"/>
      <c r="X183" s="16"/>
      <c r="Y183" s="18" t="str">
        <f>VLOOKUP(A183,[3]Combi!$A$1:$B$304,2,0)</f>
        <v>SOP/PROD/HOSE/SPS/3/13</v>
      </c>
    </row>
    <row r="184" spans="1:26" s="18" customFormat="1" x14ac:dyDescent="0.25">
      <c r="A184" s="13" t="s">
        <v>955</v>
      </c>
      <c r="B184" s="14" t="str">
        <f>VLOOKUP(A184,[1]Sheet1!$A$2:$F$379,2,0)</f>
        <v>P001069600</v>
      </c>
      <c r="C184" s="14" t="s">
        <v>233</v>
      </c>
      <c r="D184" s="14" t="s">
        <v>1248</v>
      </c>
      <c r="E184" s="15">
        <v>47.88</v>
      </c>
      <c r="F184" s="14" t="s">
        <v>1249</v>
      </c>
      <c r="G184" s="15">
        <v>83.44</v>
      </c>
      <c r="H184" s="14"/>
      <c r="I184" s="14"/>
      <c r="J184" s="15">
        <f t="shared" si="5"/>
        <v>131.32</v>
      </c>
      <c r="K184" s="14" t="s">
        <v>1267</v>
      </c>
      <c r="L184" s="15">
        <v>7.06</v>
      </c>
      <c r="M184" s="15">
        <f t="shared" si="4"/>
        <v>138.38</v>
      </c>
      <c r="N184" s="14" t="str">
        <f>VLOOKUP(A184,[2]Sheet1!$B$4:$F$352,3,0)</f>
        <v>CHS3L</v>
      </c>
      <c r="O184" s="16">
        <f>VLOOKUP(A184,[2]Sheet1!$B$4:$F$352,4,0)</f>
        <v>1</v>
      </c>
      <c r="P184" s="16"/>
      <c r="Q184" s="16">
        <f>VLOOKUP(A184,[2]Sheet1!$B$4:$F$352,4,0)</f>
        <v>1</v>
      </c>
      <c r="R184" s="17">
        <f>VLOOKUP(A184,[1]Sheet1!$A$2:$F$379,3,0)</f>
        <v>5.8</v>
      </c>
      <c r="S184" s="16">
        <f>VLOOKUP(A184,[1]Sheet1!$A$2:$F$379,4,0)</f>
        <v>12.2</v>
      </c>
      <c r="T184" s="16">
        <f>VLOOKUP(A184,[1]Sheet1!$A$2:$F$379,5,0)</f>
        <v>1040</v>
      </c>
      <c r="U184" s="16" t="str">
        <f>VLOOKUP(A184,[1]Sheet1!$A$2:$F$379,6,0)</f>
        <v>LOYANG</v>
      </c>
      <c r="V184" s="16"/>
      <c r="W184" s="16"/>
      <c r="X184" s="16"/>
      <c r="Y184" s="18" t="str">
        <f>VLOOKUP(A184,[3]Combi!$A$1:$B$304,2,0)</f>
        <v>SOP/PROD/HOSE/SPS/3/15</v>
      </c>
    </row>
    <row r="185" spans="1:26" s="18" customFormat="1" x14ac:dyDescent="0.25">
      <c r="A185" s="13" t="s">
        <v>1018</v>
      </c>
      <c r="B185" s="14" t="str">
        <f>VLOOKUP(A185,[1]Sheet1!$A$2:$F$379,2,0)</f>
        <v>P566002410</v>
      </c>
      <c r="C185" s="14" t="s">
        <v>384</v>
      </c>
      <c r="D185" s="14" t="s">
        <v>1248</v>
      </c>
      <c r="E185" s="15">
        <v>23.89</v>
      </c>
      <c r="F185" s="14" t="s">
        <v>1249</v>
      </c>
      <c r="G185" s="15">
        <v>44.03</v>
      </c>
      <c r="H185" s="14"/>
      <c r="I185" s="14"/>
      <c r="J185" s="15">
        <f t="shared" si="5"/>
        <v>67.92</v>
      </c>
      <c r="K185" s="14" t="s">
        <v>1263</v>
      </c>
      <c r="L185" s="15">
        <v>6.26</v>
      </c>
      <c r="M185" s="15">
        <f t="shared" si="4"/>
        <v>74.180000000000007</v>
      </c>
      <c r="N185" s="14" t="str">
        <f>VLOOKUP(A185,[2]Sheet1!$B$4:$F$352,3,0)</f>
        <v>CHS3L</v>
      </c>
      <c r="O185" s="16">
        <f>VLOOKUP(A185,[2]Sheet1!$B$4:$F$352,4,0)</f>
        <v>2</v>
      </c>
      <c r="P185" s="16"/>
      <c r="Q185" s="16">
        <f>VLOOKUP(A185,[2]Sheet1!$B$4:$F$352,4,0)</f>
        <v>2</v>
      </c>
      <c r="R185" s="17">
        <f>VLOOKUP(A185,[1]Sheet1!$A$2:$F$379,3,0)</f>
        <v>9.3000000000000007</v>
      </c>
      <c r="S185" s="16">
        <f>VLOOKUP(A185,[1]Sheet1!$A$2:$F$379,4,0)</f>
        <v>17</v>
      </c>
      <c r="T185" s="16">
        <f>VLOOKUP(A185,[1]Sheet1!$A$2:$F$379,5,0)</f>
        <v>360</v>
      </c>
      <c r="U185" s="16">
        <f>VLOOKUP(A185,[1]Sheet1!$A$2:$F$379,6,0)</f>
        <v>0</v>
      </c>
      <c r="V185" s="16"/>
      <c r="W185" s="16"/>
      <c r="X185" s="16"/>
      <c r="Y185" s="18" t="str">
        <f>VLOOKUP(A185,[3]Combi!$A$1:$B$304,2,0)</f>
        <v>SOP/PROD/HOSE/SPS/3/13</v>
      </c>
    </row>
    <row r="186" spans="1:26" s="18" customFormat="1" x14ac:dyDescent="0.25">
      <c r="A186" s="13" t="s">
        <v>1010</v>
      </c>
      <c r="B186" s="14" t="str">
        <f>VLOOKUP(A186,[1]Sheet1!$A$2:$F$379,2,0)</f>
        <v>P566002400</v>
      </c>
      <c r="C186" s="14" t="s">
        <v>368</v>
      </c>
      <c r="D186" s="14" t="s">
        <v>1248</v>
      </c>
      <c r="E186" s="15">
        <v>14.07</v>
      </c>
      <c r="F186" s="14" t="s">
        <v>1249</v>
      </c>
      <c r="G186" s="15">
        <v>35.5</v>
      </c>
      <c r="H186" s="14"/>
      <c r="I186" s="14"/>
      <c r="J186" s="15">
        <f t="shared" si="5"/>
        <v>49.57</v>
      </c>
      <c r="K186" s="14" t="s">
        <v>1267</v>
      </c>
      <c r="L186" s="15">
        <v>4.8600000000000003</v>
      </c>
      <c r="M186" s="15">
        <f t="shared" si="4"/>
        <v>54.43</v>
      </c>
      <c r="N186" s="14" t="str">
        <f>VLOOKUP(A186,[2]Sheet1!$B$4:$F$352,3,0)</f>
        <v>CHS3L</v>
      </c>
      <c r="O186" s="16">
        <f>VLOOKUP(A186,[2]Sheet1!$B$4:$F$352,4,0)</f>
        <v>1</v>
      </c>
      <c r="P186" s="16"/>
      <c r="Q186" s="16">
        <f>VLOOKUP(A186,[2]Sheet1!$B$4:$F$352,4,0)</f>
        <v>1</v>
      </c>
      <c r="R186" s="17">
        <f>VLOOKUP(A186,[1]Sheet1!$A$2:$F$379,3,0)</f>
        <v>5.8</v>
      </c>
      <c r="S186" s="16">
        <f>VLOOKUP(A186,[1]Sheet1!$A$2:$F$379,4,0)</f>
        <v>12.2</v>
      </c>
      <c r="T186" s="16">
        <f>VLOOKUP(A186,[1]Sheet1!$A$2:$F$379,5,0)</f>
        <v>400</v>
      </c>
      <c r="U186" s="16">
        <f>VLOOKUP(A186,[1]Sheet1!$A$2:$F$379,6,0)</f>
        <v>0</v>
      </c>
      <c r="V186" s="16"/>
      <c r="W186" s="16"/>
      <c r="X186" s="16"/>
      <c r="Y186" s="18" t="str">
        <f>VLOOKUP(A186,[3]Combi!$A$1:$B$304,2,0)</f>
        <v>SOP/PROD/HOSE/SPS/3/15</v>
      </c>
    </row>
    <row r="187" spans="1:26" s="18" customFormat="1" x14ac:dyDescent="0.25">
      <c r="A187" s="13" t="s">
        <v>1019</v>
      </c>
      <c r="B187" s="14">
        <f>VLOOKUP(A187,[1]Sheet1!$A$2:$F$379,2,0)</f>
        <v>8980009670</v>
      </c>
      <c r="C187" s="14" t="s">
        <v>386</v>
      </c>
      <c r="D187" s="14" t="s">
        <v>1237</v>
      </c>
      <c r="E187" s="15">
        <v>86.31</v>
      </c>
      <c r="F187" s="14"/>
      <c r="G187" s="14"/>
      <c r="H187" s="14"/>
      <c r="I187" s="14"/>
      <c r="J187" s="15">
        <f t="shared" si="5"/>
        <v>86.31</v>
      </c>
      <c r="K187" s="14"/>
      <c r="L187" s="14"/>
      <c r="M187" s="15">
        <f t="shared" si="4"/>
        <v>86.31</v>
      </c>
      <c r="N187" s="14" t="str">
        <f>VLOOKUP(A187,[2]Sheet1!$B$4:$F$352,3,0)</f>
        <v>DL1</v>
      </c>
      <c r="O187" s="16">
        <f>VLOOKUP(A187,[2]Sheet1!$B$4:$F$352,4,0)</f>
        <v>2</v>
      </c>
      <c r="P187" s="16"/>
      <c r="Q187" s="16">
        <f>VLOOKUP(A187,[2]Sheet1!$B$4:$F$352,4,0)</f>
        <v>2</v>
      </c>
      <c r="R187" s="17">
        <f>VLOOKUP(A187,[1]Sheet1!$A$2:$F$379,3,0)</f>
        <v>8.73</v>
      </c>
      <c r="S187" s="16">
        <f>VLOOKUP(A187,[1]Sheet1!$A$2:$F$379,4,0)</f>
        <v>17.5</v>
      </c>
      <c r="T187" s="16" t="str">
        <f>VLOOKUP(A187,[1]Sheet1!$A$2:$F$379,5,0)</f>
        <v>406±2</v>
      </c>
      <c r="U187" s="16">
        <f>VLOOKUP(A187,[1]Sheet1!$A$2:$F$379,6,0)</f>
        <v>0</v>
      </c>
      <c r="V187" s="16"/>
      <c r="W187" s="16"/>
      <c r="X187" s="16"/>
      <c r="Y187" s="18" t="e">
        <f>VLOOKUP(A187,[3]Combi!$A$1:$B$304,2,0)</f>
        <v>#N/A</v>
      </c>
      <c r="Z187" s="22" t="s">
        <v>1291</v>
      </c>
    </row>
    <row r="188" spans="1:26" s="18" customFormat="1" x14ac:dyDescent="0.25">
      <c r="A188" s="13" t="s">
        <v>991</v>
      </c>
      <c r="B188" s="14">
        <f>VLOOKUP(A188,[1]Sheet1!$A$2:$F$379,2,0)</f>
        <v>8982173462</v>
      </c>
      <c r="C188" s="14" t="s">
        <v>321</v>
      </c>
      <c r="D188" s="14" t="s">
        <v>1249</v>
      </c>
      <c r="E188" s="15">
        <v>52</v>
      </c>
      <c r="F188" s="14"/>
      <c r="G188" s="14"/>
      <c r="H188" s="14"/>
      <c r="I188" s="14"/>
      <c r="J188" s="15">
        <f t="shared" si="5"/>
        <v>52</v>
      </c>
      <c r="K188" s="14"/>
      <c r="L188" s="14"/>
      <c r="M188" s="15">
        <f t="shared" si="4"/>
        <v>52</v>
      </c>
      <c r="N188" s="14" t="str">
        <f>VLOOKUP(A188,[2]Sheet1!$B$4:$F$352,3,0)</f>
        <v>DL1</v>
      </c>
      <c r="O188" s="16">
        <f>VLOOKUP(A188,[2]Sheet1!$B$4:$F$352,4,0)</f>
        <v>1</v>
      </c>
      <c r="P188" s="16"/>
      <c r="Q188" s="16">
        <f>VLOOKUP(A188,[2]Sheet1!$B$4:$F$352,4,0)</f>
        <v>1</v>
      </c>
      <c r="R188" s="17">
        <f>VLOOKUP(A188,[1]Sheet1!$A$2:$F$379,3,0)</f>
        <v>8.73</v>
      </c>
      <c r="S188" s="16">
        <f>VLOOKUP(A188,[1]Sheet1!$A$2:$F$379,4,0)</f>
        <v>17.5</v>
      </c>
      <c r="T188" s="16" t="str">
        <f>VLOOKUP(A188,[1]Sheet1!$A$2:$F$379,5,0)</f>
        <v>250±2</v>
      </c>
      <c r="U188" s="16">
        <f>VLOOKUP(A188,[1]Sheet1!$A$2:$F$379,6,0)</f>
        <v>0</v>
      </c>
      <c r="V188" s="16"/>
      <c r="W188" s="16"/>
      <c r="X188" s="16"/>
      <c r="Y188" s="18" t="e">
        <f>VLOOKUP(A188,[3]Combi!$A$1:$B$304,2,0)</f>
        <v>#N/A</v>
      </c>
      <c r="Z188" s="22" t="s">
        <v>1307</v>
      </c>
    </row>
    <row r="189" spans="1:26" s="18" customFormat="1" x14ac:dyDescent="0.25">
      <c r="A189" s="13" t="s">
        <v>965</v>
      </c>
      <c r="B189" s="14">
        <f>VLOOKUP(A189,[1]Sheet1!$A$2:$F$379,2,0)</f>
        <v>8980009661</v>
      </c>
      <c r="C189" s="14" t="s">
        <v>256</v>
      </c>
      <c r="D189" s="14" t="s">
        <v>1237</v>
      </c>
      <c r="E189" s="15">
        <v>38</v>
      </c>
      <c r="F189" s="14"/>
      <c r="G189" s="14"/>
      <c r="H189" s="14"/>
      <c r="I189" s="14"/>
      <c r="J189" s="15">
        <f t="shared" si="5"/>
        <v>38</v>
      </c>
      <c r="K189" s="14"/>
      <c r="L189" s="14"/>
      <c r="M189" s="15">
        <f t="shared" si="4"/>
        <v>38</v>
      </c>
      <c r="N189" s="14" t="str">
        <f>VLOOKUP(A189,[2]Sheet1!$B$4:$F$352,3,0)</f>
        <v>DL1</v>
      </c>
      <c r="O189" s="16">
        <f>VLOOKUP(A189,[2]Sheet1!$B$4:$F$352,4,0)</f>
        <v>7</v>
      </c>
      <c r="P189" s="16"/>
      <c r="Q189" s="16">
        <f>VLOOKUP(A189,[2]Sheet1!$B$4:$F$352,4,0)</f>
        <v>7</v>
      </c>
      <c r="R189" s="17">
        <f>VLOOKUP(A189,[1]Sheet1!$A$2:$F$379,3,0)</f>
        <v>8.73</v>
      </c>
      <c r="S189" s="16">
        <f>VLOOKUP(A189,[1]Sheet1!$A$2:$F$379,4,0)</f>
        <v>17.5</v>
      </c>
      <c r="T189" s="16" t="str">
        <f>VLOOKUP(A189,[1]Sheet1!$A$2:$F$379,5,0)</f>
        <v>182±2</v>
      </c>
      <c r="U189" s="16">
        <f>VLOOKUP(A189,[1]Sheet1!$A$2:$F$379,6,0)</f>
        <v>0</v>
      </c>
      <c r="V189" s="16"/>
      <c r="W189" s="16"/>
      <c r="X189" s="16"/>
      <c r="Y189" s="18" t="e">
        <f>VLOOKUP(A189,[3]Combi!$A$1:$B$304,2,0)</f>
        <v>#N/A</v>
      </c>
      <c r="Z189" s="22" t="s">
        <v>1291</v>
      </c>
    </row>
    <row r="190" spans="1:26" s="18" customFormat="1" x14ac:dyDescent="0.25">
      <c r="A190" s="13" t="s">
        <v>1021</v>
      </c>
      <c r="B190" s="14" t="str">
        <f>VLOOKUP(A190,[1]Sheet1!$A$2:$F$379,2,0)</f>
        <v>0018093600</v>
      </c>
      <c r="C190" s="14" t="s">
        <v>392</v>
      </c>
      <c r="D190" s="14" t="s">
        <v>1248</v>
      </c>
      <c r="E190" s="15">
        <v>11</v>
      </c>
      <c r="F190" s="14" t="s">
        <v>1249</v>
      </c>
      <c r="G190" s="15">
        <v>72.8</v>
      </c>
      <c r="H190" s="14"/>
      <c r="I190" s="14"/>
      <c r="J190" s="15">
        <f t="shared" si="5"/>
        <v>83.8</v>
      </c>
      <c r="K190" s="14" t="s">
        <v>1263</v>
      </c>
      <c r="L190" s="15">
        <v>7.2</v>
      </c>
      <c r="M190" s="15">
        <f t="shared" si="4"/>
        <v>91</v>
      </c>
      <c r="N190" s="14" t="str">
        <f>VLOOKUP(A190,[2]Sheet1!$B$4:$F$352,3,0)</f>
        <v>CHS3L</v>
      </c>
      <c r="O190" s="16">
        <f>VLOOKUP(A190,[2]Sheet1!$B$4:$F$352,4,0)</f>
        <v>2</v>
      </c>
      <c r="P190" s="16"/>
      <c r="Q190" s="16">
        <f>VLOOKUP(A190,[2]Sheet1!$B$4:$F$352,4,0)</f>
        <v>2</v>
      </c>
      <c r="R190" s="17">
        <f>VLOOKUP(A190,[1]Sheet1!$A$2:$F$379,3,0)</f>
        <v>9.3000000000000007</v>
      </c>
      <c r="S190" s="16">
        <f>VLOOKUP(A190,[1]Sheet1!$A$2:$F$379,4,0)</f>
        <v>17</v>
      </c>
      <c r="T190" s="16">
        <f>VLOOKUP(A190,[1]Sheet1!$A$2:$F$379,5,0)</f>
        <v>439</v>
      </c>
      <c r="U190" s="16" t="str">
        <f>VLOOKUP(A190,[1]Sheet1!$A$2:$F$379,6,0)</f>
        <v>425±2</v>
      </c>
      <c r="V190" s="16"/>
      <c r="W190" s="16"/>
      <c r="X190" s="16"/>
      <c r="Y190" s="18" t="str">
        <f>VLOOKUP(A190,[3]Combi!$A$1:$B$304,2,0)</f>
        <v>SOP/PROD/HOSE/SPS/3/13</v>
      </c>
    </row>
    <row r="191" spans="1:26" s="18" customFormat="1" x14ac:dyDescent="0.25">
      <c r="A191" s="13" t="s">
        <v>1034</v>
      </c>
      <c r="B191" s="14" t="str">
        <f>VLOOKUP(A191,[1]Sheet1!$A$2:$F$379,2,0)</f>
        <v>P566002420</v>
      </c>
      <c r="C191" s="14" t="s">
        <v>420</v>
      </c>
      <c r="D191" s="14" t="s">
        <v>1248</v>
      </c>
      <c r="E191" s="15">
        <v>10.4</v>
      </c>
      <c r="F191" s="14" t="s">
        <v>1249</v>
      </c>
      <c r="G191" s="15">
        <v>46.8</v>
      </c>
      <c r="H191" s="14"/>
      <c r="I191" s="14"/>
      <c r="J191" s="15">
        <f t="shared" si="5"/>
        <v>57.199999999999996</v>
      </c>
      <c r="K191" s="14" t="s">
        <v>1263</v>
      </c>
      <c r="L191" s="15">
        <v>2.8</v>
      </c>
      <c r="M191" s="15">
        <f t="shared" si="4"/>
        <v>59.999999999999993</v>
      </c>
      <c r="N191" s="14" t="str">
        <f>VLOOKUP(A191,[2]Sheet1!$B$4:$F$352,3,0)</f>
        <v>CHS3L</v>
      </c>
      <c r="O191" s="16">
        <f>VLOOKUP(A191,[2]Sheet1!$B$4:$F$352,4,0)</f>
        <v>2</v>
      </c>
      <c r="P191" s="16"/>
      <c r="Q191" s="16">
        <f>VLOOKUP(A191,[2]Sheet1!$B$4:$F$352,4,0)</f>
        <v>2</v>
      </c>
      <c r="R191" s="17">
        <f>VLOOKUP(A191,[1]Sheet1!$A$2:$F$379,3,0)</f>
        <v>5.8</v>
      </c>
      <c r="S191" s="16">
        <f>VLOOKUP(A191,[1]Sheet1!$A$2:$F$379,4,0)</f>
        <v>12.2</v>
      </c>
      <c r="T191" s="16">
        <f>VLOOKUP(A191,[1]Sheet1!$A$2:$F$379,5,0)</f>
        <v>395</v>
      </c>
      <c r="U191" s="16" t="str">
        <f>VLOOKUP(A191,[1]Sheet1!$A$2:$F$379,6,0)</f>
        <v>393±2</v>
      </c>
      <c r="V191" s="16"/>
      <c r="W191" s="16"/>
      <c r="X191" s="16"/>
      <c r="Y191" s="18" t="str">
        <f>VLOOKUP(A191,[3]Combi!$A$1:$B$304,2,0)</f>
        <v>SOP/PROD/HOSE/SPS/3/15</v>
      </c>
    </row>
    <row r="192" spans="1:26" s="18" customFormat="1" x14ac:dyDescent="0.25">
      <c r="A192" s="13" t="s">
        <v>973</v>
      </c>
      <c r="B192" s="14" t="str">
        <f>VLOOKUP(A192,[1]Sheet1!$A$2:$F$379,2,0)</f>
        <v>P566002390</v>
      </c>
      <c r="C192" s="14" t="s">
        <v>283</v>
      </c>
      <c r="D192" s="14" t="s">
        <v>1248</v>
      </c>
      <c r="E192" s="15">
        <v>21.6</v>
      </c>
      <c r="F192" s="14" t="s">
        <v>1249</v>
      </c>
      <c r="G192" s="15">
        <v>73</v>
      </c>
      <c r="H192" s="14"/>
      <c r="I192" s="14"/>
      <c r="J192" s="15">
        <f t="shared" si="5"/>
        <v>94.6</v>
      </c>
      <c r="K192" s="14" t="s">
        <v>1263</v>
      </c>
      <c r="L192" s="15">
        <v>1.4</v>
      </c>
      <c r="M192" s="15">
        <f t="shared" si="4"/>
        <v>96</v>
      </c>
      <c r="N192" s="14" t="str">
        <f>VLOOKUP(A192,[2]Sheet1!$B$4:$F$352,3,0)</f>
        <v>CHS3L</v>
      </c>
      <c r="O192" s="16">
        <f>VLOOKUP(A192,[2]Sheet1!$B$4:$F$352,4,0)</f>
        <v>2</v>
      </c>
      <c r="P192" s="16"/>
      <c r="Q192" s="16">
        <f>VLOOKUP(A192,[2]Sheet1!$B$4:$F$352,4,0)</f>
        <v>2</v>
      </c>
      <c r="R192" s="17">
        <f>VLOOKUP(A192,[1]Sheet1!$A$2:$F$379,3,0)</f>
        <v>9.3000000000000007</v>
      </c>
      <c r="S192" s="16">
        <f>VLOOKUP(A192,[1]Sheet1!$A$2:$F$379,4,0)</f>
        <v>17</v>
      </c>
      <c r="T192" s="16">
        <f>VLOOKUP(A192,[1]Sheet1!$A$2:$F$379,5,0)</f>
        <v>453</v>
      </c>
      <c r="U192" s="16" t="str">
        <f>VLOOKUP(A192,[1]Sheet1!$A$2:$F$379,6,0)</f>
        <v>448±2</v>
      </c>
      <c r="V192" s="16"/>
      <c r="W192" s="16"/>
      <c r="X192" s="16"/>
      <c r="Y192" s="18" t="str">
        <f>VLOOKUP(A192,[3]Combi!$A$1:$B$304,2,0)</f>
        <v>SOP/PROD/HOSE/SPS/3/13</v>
      </c>
    </row>
    <row r="193" spans="1:26" s="18" customFormat="1" x14ac:dyDescent="0.25">
      <c r="A193" s="13" t="s">
        <v>976</v>
      </c>
      <c r="B193" s="14">
        <f>VLOOKUP(A193,[1]Sheet1!$A$2:$F$379,2,0)</f>
        <v>8982356362</v>
      </c>
      <c r="C193" s="14" t="s">
        <v>289</v>
      </c>
      <c r="D193" s="14" t="s">
        <v>1237</v>
      </c>
      <c r="E193" s="15">
        <v>78.75</v>
      </c>
      <c r="F193" s="14"/>
      <c r="G193" s="14"/>
      <c r="H193" s="14"/>
      <c r="I193" s="14"/>
      <c r="J193" s="15">
        <f t="shared" si="5"/>
        <v>78.75</v>
      </c>
      <c r="K193" s="14" t="s">
        <v>1265</v>
      </c>
      <c r="L193" s="15">
        <v>1.71</v>
      </c>
      <c r="M193" s="15">
        <f t="shared" si="4"/>
        <v>80.459999999999994</v>
      </c>
      <c r="N193" s="14" t="str">
        <f>VLOOKUP(A193,[2]Sheet1!$B$4:$F$352,3,0)</f>
        <v>CHS2L</v>
      </c>
      <c r="O193" s="16">
        <f>VLOOKUP(A193,[2]Sheet1!$B$4:$F$352,4,0)</f>
        <v>4</v>
      </c>
      <c r="P193" s="16"/>
      <c r="Q193" s="16">
        <f>VLOOKUP(A193,[2]Sheet1!$B$4:$F$352,4,0)</f>
        <v>4</v>
      </c>
      <c r="R193" s="17">
        <f>VLOOKUP(A193,[1]Sheet1!$A$2:$F$379,3,0)</f>
        <v>21</v>
      </c>
      <c r="S193" s="16">
        <f>VLOOKUP(A193,[1]Sheet1!$A$2:$F$379,4,0)</f>
        <v>29</v>
      </c>
      <c r="T193" s="16">
        <f>VLOOKUP(A193,[1]Sheet1!$A$2:$F$379,5,0)</f>
        <v>215</v>
      </c>
      <c r="U193" s="16" t="str">
        <f>VLOOKUP(A193,[1]Sheet1!$A$2:$F$379,6,0)</f>
        <v>213±2</v>
      </c>
      <c r="V193" s="16"/>
      <c r="W193" s="16"/>
      <c r="X193" s="16"/>
      <c r="Y193" s="18" t="e">
        <f>VLOOKUP(A193,[3]Combi!$A$1:$B$304,2,0)</f>
        <v>#N/A</v>
      </c>
      <c r="Z193" s="22" t="s">
        <v>1309</v>
      </c>
    </row>
    <row r="194" spans="1:26" s="18" customFormat="1" x14ac:dyDescent="0.25">
      <c r="A194" s="13" t="s">
        <v>1211</v>
      </c>
      <c r="B194" s="14">
        <f>VLOOKUP(A194,[1]Sheet1!$A$2:$F$379,2,0)</f>
        <v>7474940060</v>
      </c>
      <c r="C194" s="14" t="s">
        <v>857</v>
      </c>
      <c r="D194" s="14" t="s">
        <v>1248</v>
      </c>
      <c r="E194" s="15">
        <v>107.82</v>
      </c>
      <c r="F194" s="14" t="s">
        <v>1249</v>
      </c>
      <c r="G194" s="15">
        <v>188.22</v>
      </c>
      <c r="H194" s="14"/>
      <c r="I194" s="14"/>
      <c r="J194" s="15">
        <f t="shared" si="5"/>
        <v>296.03999999999996</v>
      </c>
      <c r="K194" s="14" t="s">
        <v>1267</v>
      </c>
      <c r="L194" s="15">
        <v>15.89</v>
      </c>
      <c r="M194" s="15">
        <f t="shared" ref="M194:M257" si="6">SUM(L194,I194,G194,E194)</f>
        <v>311.93</v>
      </c>
      <c r="N194" s="14" t="str">
        <f>VLOOKUP(A194,[2]Sheet1!$B$4:$F$352,3,0)</f>
        <v>CHS3L</v>
      </c>
      <c r="O194" s="16">
        <f>VLOOKUP(A194,[2]Sheet1!$B$4:$F$352,4,0)</f>
        <v>2</v>
      </c>
      <c r="P194" s="16"/>
      <c r="Q194" s="16">
        <f>VLOOKUP(A194,[2]Sheet1!$B$4:$F$352,4,0)</f>
        <v>2</v>
      </c>
      <c r="R194" s="17">
        <f>VLOOKUP(A194,[1]Sheet1!$A$2:$F$379,3,0)</f>
        <v>5.8</v>
      </c>
      <c r="S194" s="16">
        <f>VLOOKUP(A194,[1]Sheet1!$A$2:$F$379,4,0)</f>
        <v>12.2</v>
      </c>
      <c r="T194" s="16">
        <f>VLOOKUP(A194,[1]Sheet1!$A$2:$F$379,5,0)</f>
        <v>1910</v>
      </c>
      <c r="U194" s="16" t="str">
        <f>VLOOKUP(A194,[1]Sheet1!$A$2:$F$379,6,0)</f>
        <v>LOYANG</v>
      </c>
      <c r="V194" s="16"/>
      <c r="W194" s="16"/>
      <c r="X194" s="16"/>
      <c r="Y194" s="18" t="str">
        <f>VLOOKUP(A194,[3]Combi!$A$1:$B$304,2,0)</f>
        <v>SOP/PROD/HOSE/SPS/3/15</v>
      </c>
    </row>
    <row r="195" spans="1:26" s="18" customFormat="1" x14ac:dyDescent="0.25">
      <c r="A195" s="13" t="s">
        <v>1212</v>
      </c>
      <c r="B195" s="14" t="str">
        <f>VLOOKUP(A195,[1]Sheet1!$A$2:$F$379,2,0)</f>
        <v>P566002380</v>
      </c>
      <c r="C195" s="14" t="s">
        <v>859</v>
      </c>
      <c r="D195" s="14" t="s">
        <v>1248</v>
      </c>
      <c r="E195" s="15">
        <v>173.64</v>
      </c>
      <c r="F195" s="14" t="s">
        <v>1249</v>
      </c>
      <c r="G195" s="15">
        <v>295.35000000000002</v>
      </c>
      <c r="H195" s="14"/>
      <c r="I195" s="14"/>
      <c r="J195" s="15">
        <f t="shared" ref="J195:J258" si="7">E195+G195+I195</f>
        <v>468.99</v>
      </c>
      <c r="K195" s="14" t="s">
        <v>1263</v>
      </c>
      <c r="L195" s="15">
        <v>14.43</v>
      </c>
      <c r="M195" s="15">
        <f t="shared" si="6"/>
        <v>483.42</v>
      </c>
      <c r="N195" s="14" t="str">
        <f>VLOOKUP(A195,[2]Sheet1!$B$4:$F$352,3,0)</f>
        <v>CHS3L</v>
      </c>
      <c r="O195" s="16">
        <f>VLOOKUP(A195,[2]Sheet1!$B$4:$F$352,4,0)</f>
        <v>2</v>
      </c>
      <c r="P195" s="16"/>
      <c r="Q195" s="16">
        <f>VLOOKUP(A195,[2]Sheet1!$B$4:$F$352,4,0)</f>
        <v>2</v>
      </c>
      <c r="R195" s="17">
        <f>VLOOKUP(A195,[1]Sheet1!$A$2:$F$379,3,0)</f>
        <v>9.3000000000000007</v>
      </c>
      <c r="S195" s="16">
        <f>VLOOKUP(A195,[1]Sheet1!$A$2:$F$379,4,0)</f>
        <v>17</v>
      </c>
      <c r="T195" s="16">
        <f>VLOOKUP(A195,[1]Sheet1!$A$2:$F$379,5,0)</f>
        <v>1615</v>
      </c>
      <c r="U195" s="16" t="str">
        <f>VLOOKUP(A195,[1]Sheet1!$A$2:$F$379,6,0)</f>
        <v>LOYANG</v>
      </c>
      <c r="V195" s="16"/>
      <c r="W195" s="16"/>
      <c r="X195" s="16"/>
      <c r="Y195" s="18" t="str">
        <f>VLOOKUP(A195,[3]Combi!$A$1:$B$304,2,0)</f>
        <v>SOP/PROD/HOSE/SPS/3/13</v>
      </c>
    </row>
    <row r="196" spans="1:26" s="18" customFormat="1" x14ac:dyDescent="0.25">
      <c r="A196" s="13" t="s">
        <v>1216</v>
      </c>
      <c r="B196" s="14" t="str">
        <f>VLOOKUP(A196,[1]Sheet1!$A$2:$F$379,2,0)</f>
        <v>P566003040</v>
      </c>
      <c r="C196" s="14" t="s">
        <v>870</v>
      </c>
      <c r="D196" s="14" t="s">
        <v>1248</v>
      </c>
      <c r="E196" s="15">
        <v>26.42</v>
      </c>
      <c r="F196" s="14" t="s">
        <v>1249</v>
      </c>
      <c r="G196" s="15">
        <v>61.98</v>
      </c>
      <c r="H196" s="14"/>
      <c r="I196" s="14"/>
      <c r="J196" s="15">
        <f t="shared" si="7"/>
        <v>88.4</v>
      </c>
      <c r="K196" s="14" t="s">
        <v>1263</v>
      </c>
      <c r="L196" s="15">
        <v>2.98</v>
      </c>
      <c r="M196" s="15">
        <f t="shared" si="6"/>
        <v>91.38</v>
      </c>
      <c r="N196" s="14" t="str">
        <f>VLOOKUP(A196,[2]Sheet1!$B$4:$F$352,3,0)</f>
        <v>CHS3L</v>
      </c>
      <c r="O196" s="16">
        <f>VLOOKUP(A196,[2]Sheet1!$B$4:$F$352,4,0)</f>
        <v>1</v>
      </c>
      <c r="P196" s="16"/>
      <c r="Q196" s="16">
        <f>VLOOKUP(A196,[2]Sheet1!$B$4:$F$352,4,0)</f>
        <v>1</v>
      </c>
      <c r="R196" s="17">
        <f>VLOOKUP(A196,[1]Sheet1!$A$2:$F$379,3,0)</f>
        <v>11.3</v>
      </c>
      <c r="S196" s="16">
        <f>VLOOKUP(A196,[1]Sheet1!$A$2:$F$379,4,0)</f>
        <v>19.5</v>
      </c>
      <c r="T196" s="16">
        <f>VLOOKUP(A196,[1]Sheet1!$A$2:$F$379,5,0)</f>
        <v>393</v>
      </c>
      <c r="U196" s="16">
        <f>VLOOKUP(A196,[1]Sheet1!$A$2:$F$379,6,0)</f>
        <v>0</v>
      </c>
      <c r="V196" s="16"/>
      <c r="W196" s="16"/>
      <c r="X196" s="16"/>
      <c r="Y196" s="18" t="str">
        <f>VLOOKUP(A196,[3]Combi!$A$1:$B$304,2,0)</f>
        <v>SOP/PROD/HOSE/SPS/3/14</v>
      </c>
    </row>
    <row r="197" spans="1:26" s="18" customFormat="1" x14ac:dyDescent="0.25">
      <c r="A197" s="13" t="s">
        <v>1215</v>
      </c>
      <c r="B197" s="14" t="str">
        <f>VLOOKUP(A197,[1]Sheet1!$A$2:$F$379,2,0)</f>
        <v>'0018097300</v>
      </c>
      <c r="C197" s="14" t="s">
        <v>868</v>
      </c>
      <c r="D197" s="14" t="s">
        <v>1248</v>
      </c>
      <c r="E197" s="15">
        <v>52.07</v>
      </c>
      <c r="F197" s="14" t="s">
        <v>1249</v>
      </c>
      <c r="G197" s="15">
        <v>122.13</v>
      </c>
      <c r="H197" s="14"/>
      <c r="I197" s="14"/>
      <c r="J197" s="15">
        <f t="shared" si="7"/>
        <v>174.2</v>
      </c>
      <c r="K197" s="14" t="s">
        <v>1263</v>
      </c>
      <c r="L197" s="15">
        <v>6.63</v>
      </c>
      <c r="M197" s="15">
        <f t="shared" si="6"/>
        <v>180.82999999999998</v>
      </c>
      <c r="N197" s="14" t="str">
        <f>VLOOKUP(A197,[2]Sheet1!$B$4:$F$352,3,0)</f>
        <v>CHS3L</v>
      </c>
      <c r="O197" s="16">
        <f>VLOOKUP(A197,[2]Sheet1!$B$4:$F$352,4,0)</f>
        <v>1</v>
      </c>
      <c r="P197" s="16"/>
      <c r="Q197" s="16">
        <f>VLOOKUP(A197,[2]Sheet1!$B$4:$F$352,4,0)</f>
        <v>1</v>
      </c>
      <c r="R197" s="17">
        <f>VLOOKUP(A197,[1]Sheet1!$A$2:$F$379,3,0)</f>
        <v>9.3000000000000007</v>
      </c>
      <c r="S197" s="16">
        <f>VLOOKUP(A197,[1]Sheet1!$A$2:$F$379,4,0)</f>
        <v>17</v>
      </c>
      <c r="T197" s="16">
        <f>VLOOKUP(A197,[1]Sheet1!$A$2:$F$379,5,0)</f>
        <v>940</v>
      </c>
      <c r="U197" s="16">
        <f>VLOOKUP(A197,[1]Sheet1!$A$2:$F$379,6,0)</f>
        <v>0</v>
      </c>
      <c r="V197" s="16"/>
      <c r="W197" s="16"/>
      <c r="X197" s="16"/>
      <c r="Y197" s="18" t="str">
        <f>VLOOKUP(A197,[3]Combi!$A$1:$B$304,2,0)</f>
        <v>SOP/PROD/HOSE/SPS/3/13</v>
      </c>
    </row>
    <row r="198" spans="1:26" s="18" customFormat="1" x14ac:dyDescent="0.25">
      <c r="A198" s="13" t="s">
        <v>1214</v>
      </c>
      <c r="B198" s="14" t="str">
        <f>VLOOKUP(A198,[1]Sheet1!$A$2:$F$379,2,0)</f>
        <v>P566003050</v>
      </c>
      <c r="C198" s="14" t="s">
        <v>866</v>
      </c>
      <c r="D198" s="14" t="s">
        <v>1248</v>
      </c>
      <c r="E198" s="15">
        <v>53.41</v>
      </c>
      <c r="F198" s="14" t="s">
        <v>1249</v>
      </c>
      <c r="G198" s="15">
        <v>125.29</v>
      </c>
      <c r="H198" s="14"/>
      <c r="I198" s="14"/>
      <c r="J198" s="15">
        <f t="shared" si="7"/>
        <v>178.7</v>
      </c>
      <c r="K198" s="14" t="s">
        <v>1263</v>
      </c>
      <c r="L198" s="15">
        <v>5.62</v>
      </c>
      <c r="M198" s="15">
        <f t="shared" si="6"/>
        <v>184.32</v>
      </c>
      <c r="N198" s="14" t="str">
        <f>VLOOKUP(A198,[2]Sheet1!$B$4:$F$352,3,0)</f>
        <v>CHS3L</v>
      </c>
      <c r="O198" s="16">
        <f>VLOOKUP(A198,[2]Sheet1!$B$4:$F$352,4,0)</f>
        <v>1</v>
      </c>
      <c r="P198" s="16"/>
      <c r="Q198" s="16">
        <f>VLOOKUP(A198,[2]Sheet1!$B$4:$F$352,4,0)</f>
        <v>1</v>
      </c>
      <c r="R198" s="17">
        <f>VLOOKUP(A198,[1]Sheet1!$A$2:$F$379,3,0)</f>
        <v>11.3</v>
      </c>
      <c r="S198" s="16">
        <f>VLOOKUP(A198,[1]Sheet1!$A$2:$F$379,4,0)</f>
        <v>19.5</v>
      </c>
      <c r="T198" s="16">
        <f>VLOOKUP(A198,[1]Sheet1!$A$2:$F$379,5,0)</f>
        <v>665</v>
      </c>
      <c r="U198" s="16">
        <f>VLOOKUP(A198,[1]Sheet1!$A$2:$F$379,6,0)</f>
        <v>0</v>
      </c>
      <c r="V198" s="16"/>
      <c r="W198" s="16"/>
      <c r="X198" s="16"/>
      <c r="Y198" s="18" t="str">
        <f>VLOOKUP(A198,[3]Combi!$A$1:$B$304,2,0)</f>
        <v>SOP/PROD/HOSE/SPS/3/14</v>
      </c>
    </row>
    <row r="199" spans="1:26" s="18" customFormat="1" x14ac:dyDescent="0.25">
      <c r="A199" s="13" t="s">
        <v>1218</v>
      </c>
      <c r="B199" s="14">
        <f>VLOOKUP(A199,[1]Sheet1!$A$2:$F$379,2,0)</f>
        <v>18122800</v>
      </c>
      <c r="C199" s="14" t="s">
        <v>880</v>
      </c>
      <c r="D199" s="14" t="s">
        <v>1248</v>
      </c>
      <c r="E199" s="15">
        <v>33.869999999999997</v>
      </c>
      <c r="F199" s="14" t="s">
        <v>1249</v>
      </c>
      <c r="G199" s="15">
        <v>64.709999999999994</v>
      </c>
      <c r="H199" s="14"/>
      <c r="I199" s="14"/>
      <c r="J199" s="15">
        <f t="shared" si="7"/>
        <v>98.579999999999984</v>
      </c>
      <c r="K199" s="14" t="s">
        <v>1263</v>
      </c>
      <c r="L199" s="15">
        <v>2.46</v>
      </c>
      <c r="M199" s="15">
        <f t="shared" si="6"/>
        <v>101.03999999999999</v>
      </c>
      <c r="N199" s="14" t="str">
        <f>VLOOKUP(A199,[2]Sheet1!$B$4:$F$352,3,0)</f>
        <v>CHS3L</v>
      </c>
      <c r="O199" s="16">
        <f>VLOOKUP(A199,[2]Sheet1!$B$4:$F$352,4,0)</f>
        <v>1</v>
      </c>
      <c r="P199" s="16"/>
      <c r="Q199" s="16">
        <f>VLOOKUP(A199,[2]Sheet1!$B$4:$F$352,4,0)</f>
        <v>1</v>
      </c>
      <c r="R199" s="17">
        <f>VLOOKUP(A199,[1]Sheet1!$A$2:$F$379,3,0)</f>
        <v>11.3</v>
      </c>
      <c r="S199" s="16">
        <f>VLOOKUP(A199,[1]Sheet1!$A$2:$F$379,4,0)</f>
        <v>19.3</v>
      </c>
      <c r="T199" s="16">
        <f>VLOOKUP(A199,[1]Sheet1!$A$2:$F$379,5,0)</f>
        <v>330</v>
      </c>
      <c r="U199" s="16" t="str">
        <f>VLOOKUP(A199,[1]Sheet1!$A$2:$F$379,6,0)</f>
        <v>328±2</v>
      </c>
      <c r="V199" s="16"/>
      <c r="W199" s="16"/>
      <c r="X199" s="16"/>
      <c r="Y199" s="18" t="str">
        <f>VLOOKUP(A199,[3]Combi!$A$1:$B$304,2,0)</f>
        <v>SOP/PROD/HOSE/SPS/3/14</v>
      </c>
    </row>
    <row r="200" spans="1:26" s="18" customFormat="1" x14ac:dyDescent="0.25">
      <c r="A200" s="13" t="s">
        <v>951</v>
      </c>
      <c r="B200" s="14" t="str">
        <f>VLOOKUP(A200,[1]Sheet1!$A$2:$F$379,2,0)</f>
        <v>12268-942LL</v>
      </c>
      <c r="C200" s="14" t="s">
        <v>218</v>
      </c>
      <c r="D200" s="14" t="s">
        <v>1247</v>
      </c>
      <c r="E200" s="15">
        <v>21.2</v>
      </c>
      <c r="F200" s="14" t="s">
        <v>1230</v>
      </c>
      <c r="G200" s="15">
        <v>5.3</v>
      </c>
      <c r="H200" s="14"/>
      <c r="I200" s="14"/>
      <c r="J200" s="15">
        <f t="shared" si="7"/>
        <v>26.5</v>
      </c>
      <c r="K200" s="14"/>
      <c r="L200" s="14"/>
      <c r="M200" s="15">
        <f t="shared" si="6"/>
        <v>26.5</v>
      </c>
      <c r="N200" s="14" t="s">
        <v>1289</v>
      </c>
      <c r="O200" s="16" t="e">
        <f>VLOOKUP(A200,[2]Sheet1!$B$4:$F$352,4,0)</f>
        <v>#N/A</v>
      </c>
      <c r="P200" s="16"/>
      <c r="Q200" s="16" t="e">
        <f>VLOOKUP(A200,[2]Sheet1!$B$4:$F$352,4,0)</f>
        <v>#N/A</v>
      </c>
      <c r="R200" s="17">
        <f>VLOOKUP(A200,[1]Sheet1!$A$2:$F$379,3,0)</f>
        <v>3.5</v>
      </c>
      <c r="S200" s="16">
        <f>VLOOKUP(A200,[1]Sheet1!$A$2:$F$379,4,0)</f>
        <v>7.5</v>
      </c>
      <c r="T200" s="16" t="str">
        <f>VLOOKUP(A200,[1]Sheet1!$A$2:$F$379,5,0)</f>
        <v>528±2</v>
      </c>
      <c r="U200" s="16">
        <f>VLOOKUP(A200,[1]Sheet1!$A$2:$F$379,6,0)</f>
        <v>0</v>
      </c>
      <c r="V200" s="16"/>
      <c r="W200" s="16"/>
      <c r="X200" s="16"/>
      <c r="Y200" s="18" t="e">
        <f>VLOOKUP(A200,[3]Combi!$A$1:$B$304,2,0)</f>
        <v>#N/A</v>
      </c>
      <c r="Z200" s="22" t="s">
        <v>1310</v>
      </c>
    </row>
    <row r="201" spans="1:26" s="18" customFormat="1" x14ac:dyDescent="0.25">
      <c r="A201" s="13" t="s">
        <v>1097</v>
      </c>
      <c r="B201" s="14" t="str">
        <f>VLOOKUP(A201,[1]Sheet1!$A$2:$F$379,2,0)</f>
        <v>77213-0D170</v>
      </c>
      <c r="C201" s="14" t="s">
        <v>588</v>
      </c>
      <c r="D201" s="14" t="s">
        <v>1259</v>
      </c>
      <c r="E201" s="15">
        <v>261.92</v>
      </c>
      <c r="F201" s="14"/>
      <c r="G201" s="14"/>
      <c r="H201" s="14"/>
      <c r="I201" s="14"/>
      <c r="J201" s="15">
        <f t="shared" si="7"/>
        <v>261.92</v>
      </c>
      <c r="K201" s="14"/>
      <c r="L201" s="14"/>
      <c r="M201" s="15">
        <f t="shared" si="6"/>
        <v>261.92</v>
      </c>
      <c r="N201" s="14" t="str">
        <f>VLOOKUP(A201,[2]Sheet1!$B$4:$F$352,3,0)</f>
        <v>CHS2L</v>
      </c>
      <c r="O201" s="16">
        <f>VLOOKUP(A201,[2]Sheet1!$B$4:$F$352,4,0)</f>
        <v>5</v>
      </c>
      <c r="P201" s="16"/>
      <c r="Q201" s="16">
        <f>VLOOKUP(A201,[2]Sheet1!$B$4:$F$352,4,0)</f>
        <v>5</v>
      </c>
      <c r="R201" s="17">
        <f>VLOOKUP(A201,[1]Sheet1!$A$2:$F$379,3,0)</f>
        <v>34</v>
      </c>
      <c r="S201" s="16">
        <f>VLOOKUP(A201,[1]Sheet1!$A$2:$F$379,4,0)</f>
        <v>44</v>
      </c>
      <c r="T201" s="16" t="str">
        <f>VLOOKUP(A201,[1]Sheet1!$A$2:$F$379,5,0)</f>
        <v>365±2</v>
      </c>
      <c r="U201" s="16">
        <f>VLOOKUP(A201,[1]Sheet1!$A$2:$F$379,6,0)</f>
        <v>0</v>
      </c>
      <c r="V201" s="16"/>
      <c r="W201" s="16"/>
      <c r="X201" s="16"/>
      <c r="Y201" s="18" t="e">
        <f>VLOOKUP(A201,[3]Combi!$A$1:$B$304,2,0)</f>
        <v>#N/A</v>
      </c>
      <c r="Z201" s="22" t="s">
        <v>1311</v>
      </c>
    </row>
    <row r="202" spans="1:26" s="18" customFormat="1" x14ac:dyDescent="0.25">
      <c r="A202" s="13" t="s">
        <v>1129</v>
      </c>
      <c r="B202" s="14" t="str">
        <f>VLOOKUP(A202,[1]Sheet1!$A$2:$F$379,2,0)</f>
        <v>77269-0D100</v>
      </c>
      <c r="C202" s="14" t="s">
        <v>669</v>
      </c>
      <c r="D202" s="14" t="s">
        <v>1257</v>
      </c>
      <c r="E202" s="15">
        <v>24.81</v>
      </c>
      <c r="F202" s="14" t="s">
        <v>1258</v>
      </c>
      <c r="G202" s="15">
        <v>4.9400000000000004</v>
      </c>
      <c r="H202" s="14"/>
      <c r="I202" s="14"/>
      <c r="J202" s="15">
        <f t="shared" si="7"/>
        <v>29.75</v>
      </c>
      <c r="K202" s="14"/>
      <c r="L202" s="14"/>
      <c r="M202" s="15">
        <f t="shared" si="6"/>
        <v>29.75</v>
      </c>
      <c r="N202" s="14" t="str">
        <f>VLOOKUP(A202,[2]Sheet1!$B$4:$F$352,3,0)</f>
        <v>DL1</v>
      </c>
      <c r="O202" s="16">
        <f>VLOOKUP(A202,[2]Sheet1!$B$4:$F$352,4,0)</f>
        <v>0</v>
      </c>
      <c r="P202" s="16"/>
      <c r="Q202" s="16">
        <f>VLOOKUP(A202,[2]Sheet1!$B$4:$F$352,4,0)</f>
        <v>0</v>
      </c>
      <c r="R202" s="17">
        <f>VLOOKUP(A202,[1]Sheet1!$A$2:$F$379,3,0)</f>
        <v>13.5</v>
      </c>
      <c r="S202" s="16">
        <f>VLOOKUP(A202,[1]Sheet1!$A$2:$F$379,4,0)</f>
        <v>21.5</v>
      </c>
      <c r="T202" s="16" t="str">
        <f>VLOOKUP(A202,[1]Sheet1!$A$2:$F$379,5,0)</f>
        <v>118±2</v>
      </c>
      <c r="U202" s="16">
        <f>VLOOKUP(A202,[1]Sheet1!$A$2:$F$379,6,0)</f>
        <v>0</v>
      </c>
      <c r="V202" s="16"/>
      <c r="W202" s="16"/>
      <c r="X202" s="16"/>
      <c r="Y202" s="18" t="str">
        <f>VLOOKUP(A202,[3]Combi!$A$1:$B$304,2,0)</f>
        <v>SOP/PROD/HOSE/SPS/1/15</v>
      </c>
    </row>
    <row r="203" spans="1:26" s="18" customFormat="1" x14ac:dyDescent="0.25">
      <c r="A203" s="13" t="s">
        <v>1092</v>
      </c>
      <c r="B203" s="14" t="str">
        <f>VLOOKUP(A203,[1]Sheet1!$A$2:$F$379,2,0)</f>
        <v>31434-0D030</v>
      </c>
      <c r="C203" s="14" t="s">
        <v>558</v>
      </c>
      <c r="D203" s="14" t="s">
        <v>1238</v>
      </c>
      <c r="E203" s="15">
        <v>54.32</v>
      </c>
      <c r="F203" s="14"/>
      <c r="G203" s="14"/>
      <c r="H203" s="14"/>
      <c r="I203" s="14"/>
      <c r="J203" s="15">
        <f t="shared" si="7"/>
        <v>54.32</v>
      </c>
      <c r="K203" s="14"/>
      <c r="L203" s="14"/>
      <c r="M203" s="15">
        <f t="shared" si="6"/>
        <v>54.32</v>
      </c>
      <c r="N203" s="14" t="str">
        <f>VLOOKUP(A203,[2]Sheet1!$B$4:$F$352,3,0)</f>
        <v>DL1</v>
      </c>
      <c r="O203" s="16">
        <f>VLOOKUP(A203,[2]Sheet1!$B$4:$F$352,4,0)</f>
        <v>0</v>
      </c>
      <c r="P203" s="16"/>
      <c r="Q203" s="16">
        <f>VLOOKUP(A203,[2]Sheet1!$B$4:$F$352,4,0)</f>
        <v>0</v>
      </c>
      <c r="R203" s="17">
        <f>VLOOKUP(A203,[1]Sheet1!$A$2:$F$379,3,0)</f>
        <v>8.5</v>
      </c>
      <c r="S203" s="16">
        <f>VLOOKUP(A203,[1]Sheet1!$A$2:$F$379,4,0)</f>
        <v>17</v>
      </c>
      <c r="T203" s="16" t="str">
        <f>VLOOKUP(A203,[1]Sheet1!$A$2:$F$379,5,0)</f>
        <v>278±2</v>
      </c>
      <c r="U203" s="16">
        <f>VLOOKUP(A203,[1]Sheet1!$A$2:$F$379,6,0)</f>
        <v>0</v>
      </c>
      <c r="V203" s="16"/>
      <c r="W203" s="16"/>
      <c r="X203" s="16"/>
      <c r="Y203" s="18" t="str">
        <f>VLOOKUP(A203,[3]Combi!$A$1:$B$304,2,0)</f>
        <v>SOP/PROD/HOSE/SPS/1/9</v>
      </c>
    </row>
    <row r="204" spans="1:26" s="18" customFormat="1" x14ac:dyDescent="0.25">
      <c r="A204" s="13" t="s">
        <v>1098</v>
      </c>
      <c r="B204" s="14" t="str">
        <f>VLOOKUP(A204,[1]Sheet1!$A$2:$F$379,2,0)</f>
        <v>77701-0D110</v>
      </c>
      <c r="C204" s="14" t="s">
        <v>591</v>
      </c>
      <c r="D204" s="14" t="s">
        <v>1229</v>
      </c>
      <c r="E204" s="15">
        <v>50.28</v>
      </c>
      <c r="F204" s="14" t="s">
        <v>1230</v>
      </c>
      <c r="G204" s="15">
        <v>9.91</v>
      </c>
      <c r="H204" s="14"/>
      <c r="I204" s="14"/>
      <c r="J204" s="15">
        <f t="shared" si="7"/>
        <v>60.19</v>
      </c>
      <c r="K204" s="14"/>
      <c r="L204" s="14"/>
      <c r="M204" s="15">
        <f t="shared" si="6"/>
        <v>60.19</v>
      </c>
      <c r="N204" s="14" t="str">
        <f>VLOOKUP(A204,[2]Sheet1!$B$4:$F$352,3,0)</f>
        <v>DL1</v>
      </c>
      <c r="O204" s="16">
        <f>VLOOKUP(A204,[2]Sheet1!$B$4:$F$352,4,0)</f>
        <v>0</v>
      </c>
      <c r="P204" s="16"/>
      <c r="Q204" s="16">
        <f>VLOOKUP(A204,[2]Sheet1!$B$4:$F$352,4,0)</f>
        <v>0</v>
      </c>
      <c r="R204" s="17">
        <f>VLOOKUP(A204,[1]Sheet1!$A$2:$F$379,3,0)</f>
        <v>9</v>
      </c>
      <c r="S204" s="16">
        <f>VLOOKUP(A204,[1]Sheet1!$A$2:$F$379,4,0)</f>
        <v>14</v>
      </c>
      <c r="T204" s="16" t="str">
        <f>VLOOKUP(A204,[1]Sheet1!$A$2:$F$379,5,0)</f>
        <v>620±2</v>
      </c>
      <c r="U204" s="16">
        <f>VLOOKUP(A204,[1]Sheet1!$A$2:$F$379,6,0)</f>
        <v>0</v>
      </c>
      <c r="V204" s="16"/>
      <c r="W204" s="16"/>
      <c r="X204" s="16"/>
      <c r="Y204" s="18" t="str">
        <f>VLOOKUP(A204,[3]Combi!$A$1:$B$304,2,0)</f>
        <v>SOP/PROD/HOSE/SPS/1/14</v>
      </c>
    </row>
    <row r="205" spans="1:26" s="18" customFormat="1" x14ac:dyDescent="0.25">
      <c r="A205" s="13" t="s">
        <v>1113</v>
      </c>
      <c r="B205" s="14" t="str">
        <f>VLOOKUP(A205,[1]Sheet1!$A$2:$F$379,2,0)</f>
        <v>77028-0D160</v>
      </c>
      <c r="C205" s="14" t="s">
        <v>633</v>
      </c>
      <c r="D205" s="14" t="s">
        <v>1229</v>
      </c>
      <c r="E205" s="15">
        <v>42.41</v>
      </c>
      <c r="F205" s="14" t="s">
        <v>1230</v>
      </c>
      <c r="G205" s="15">
        <v>10.01</v>
      </c>
      <c r="H205" s="14"/>
      <c r="I205" s="14"/>
      <c r="J205" s="15">
        <f t="shared" si="7"/>
        <v>52.419999999999995</v>
      </c>
      <c r="K205" s="14"/>
      <c r="L205" s="14"/>
      <c r="M205" s="15">
        <f t="shared" si="6"/>
        <v>52.419999999999995</v>
      </c>
      <c r="N205" s="14" t="str">
        <f>VLOOKUP(A205,[2]Sheet1!$B$4:$F$352,3,0)</f>
        <v>DL1</v>
      </c>
      <c r="O205" s="16">
        <f>VLOOKUP(A205,[2]Sheet1!$B$4:$F$352,4,0)</f>
        <v>0</v>
      </c>
      <c r="P205" s="16"/>
      <c r="Q205" s="16">
        <f>VLOOKUP(A205,[2]Sheet1!$B$4:$F$352,4,0)</f>
        <v>0</v>
      </c>
      <c r="R205" s="17">
        <f>VLOOKUP(A205,[1]Sheet1!$A$2:$F$379,3,0)</f>
        <v>7</v>
      </c>
      <c r="S205" s="16">
        <f>VLOOKUP(A205,[1]Sheet1!$A$2:$F$379,4,0)</f>
        <v>12</v>
      </c>
      <c r="T205" s="16" t="str">
        <f>VLOOKUP(A205,[1]Sheet1!$A$2:$F$379,5,0)</f>
        <v>605±2</v>
      </c>
      <c r="U205" s="16">
        <f>VLOOKUP(A205,[1]Sheet1!$A$2:$F$379,6,0)</f>
        <v>0</v>
      </c>
      <c r="V205" s="16"/>
      <c r="W205" s="16"/>
      <c r="X205" s="16"/>
      <c r="Y205" s="18" t="str">
        <f>VLOOKUP(A205,[3]Combi!$A$1:$B$304,2,0)</f>
        <v>SOP/PROD/HOSE/SPS/1/13</v>
      </c>
    </row>
    <row r="206" spans="1:26" s="18" customFormat="1" x14ac:dyDescent="0.25">
      <c r="A206" s="13" t="s">
        <v>1170</v>
      </c>
      <c r="B206" s="14" t="str">
        <f>VLOOKUP(A206,[1]Sheet1!$A$2:$F$379,2,0)</f>
        <v>44771-KK050</v>
      </c>
      <c r="C206" s="14" t="s">
        <v>761</v>
      </c>
      <c r="D206" s="14" t="s">
        <v>1224</v>
      </c>
      <c r="E206" s="15">
        <v>7.62</v>
      </c>
      <c r="F206" s="14" t="s">
        <v>1225</v>
      </c>
      <c r="G206" s="15">
        <v>6.23</v>
      </c>
      <c r="H206" s="14" t="s">
        <v>1226</v>
      </c>
      <c r="I206" s="15">
        <v>17.010000000000002</v>
      </c>
      <c r="J206" s="15">
        <f t="shared" si="7"/>
        <v>30.860000000000003</v>
      </c>
      <c r="K206" s="14" t="s">
        <v>1264</v>
      </c>
      <c r="L206" s="15">
        <v>0.75</v>
      </c>
      <c r="M206" s="15">
        <f t="shared" si="6"/>
        <v>31.610000000000003</v>
      </c>
      <c r="N206" s="14" t="str">
        <f>VLOOKUP(A206,[2]Sheet1!$B$4:$F$352,3,0)</f>
        <v>CHS3L</v>
      </c>
      <c r="O206" s="16">
        <f>VLOOKUP(A206,[2]Sheet1!$B$4:$F$352,4,0)</f>
        <v>0</v>
      </c>
      <c r="P206" s="16"/>
      <c r="Q206" s="16">
        <f>VLOOKUP(A206,[2]Sheet1!$B$4:$F$352,4,0)</f>
        <v>0</v>
      </c>
      <c r="R206" s="17">
        <f>VLOOKUP(A206,[1]Sheet1!$A$2:$F$379,3,0)</f>
        <v>8.73</v>
      </c>
      <c r="S206" s="16">
        <f>VLOOKUP(A206,[1]Sheet1!$A$2:$F$379,4,0)</f>
        <v>17.46</v>
      </c>
      <c r="T206" s="16">
        <f>VLOOKUP(A206,[1]Sheet1!$A$2:$F$379,5,0)</f>
        <v>150</v>
      </c>
      <c r="U206" s="16" t="str">
        <f>VLOOKUP(A206,[1]Sheet1!$A$2:$F$379,6,0)</f>
        <v>144-149</v>
      </c>
      <c r="V206" s="16"/>
      <c r="W206" s="16"/>
      <c r="X206" s="16"/>
      <c r="Y206" s="18" t="str">
        <f>VLOOKUP(A206,[3]Combi!$A$1:$B$304,2,0)</f>
        <v>SOP/PROD/HOSE/SPS/3/6</v>
      </c>
    </row>
    <row r="207" spans="1:26" s="18" customFormat="1" x14ac:dyDescent="0.25">
      <c r="A207" s="13" t="s">
        <v>1156</v>
      </c>
      <c r="B207" s="14" t="str">
        <f>VLOOKUP(A207,[1]Sheet1!$A$2:$F$379,2,0)</f>
        <v>44771-KK060</v>
      </c>
      <c r="C207" s="14" t="s">
        <v>727</v>
      </c>
      <c r="D207" s="14" t="s">
        <v>1224</v>
      </c>
      <c r="E207" s="15">
        <v>6.85</v>
      </c>
      <c r="F207" s="14" t="s">
        <v>1225</v>
      </c>
      <c r="G207" s="15">
        <v>5.6</v>
      </c>
      <c r="H207" s="14" t="s">
        <v>1226</v>
      </c>
      <c r="I207" s="15">
        <v>15.28</v>
      </c>
      <c r="J207" s="15">
        <f t="shared" si="7"/>
        <v>27.729999999999997</v>
      </c>
      <c r="K207" s="14" t="s">
        <v>1264</v>
      </c>
      <c r="L207" s="15">
        <v>0.68</v>
      </c>
      <c r="M207" s="15">
        <f t="shared" si="6"/>
        <v>28.409999999999997</v>
      </c>
      <c r="N207" s="14" t="str">
        <f>VLOOKUP(A207,[2]Sheet1!$B$4:$F$352,3,0)</f>
        <v>CHS3L</v>
      </c>
      <c r="O207" s="16">
        <f>VLOOKUP(A207,[2]Sheet1!$B$4:$F$352,4,0)</f>
        <v>0</v>
      </c>
      <c r="P207" s="16"/>
      <c r="Q207" s="16">
        <f>VLOOKUP(A207,[2]Sheet1!$B$4:$F$352,4,0)</f>
        <v>0</v>
      </c>
      <c r="R207" s="17">
        <f>VLOOKUP(A207,[1]Sheet1!$A$2:$F$379,3,0)</f>
        <v>8.73</v>
      </c>
      <c r="S207" s="16">
        <f>VLOOKUP(A207,[1]Sheet1!$A$2:$F$379,4,0)</f>
        <v>17.46</v>
      </c>
      <c r="T207" s="16">
        <f>VLOOKUP(A207,[1]Sheet1!$A$2:$F$379,5,0)</f>
        <v>135</v>
      </c>
      <c r="U207" s="16" t="str">
        <f>VLOOKUP(A207,[1]Sheet1!$A$2:$F$379,6,0)</f>
        <v>129-134</v>
      </c>
      <c r="V207" s="16"/>
      <c r="W207" s="16"/>
      <c r="X207" s="16"/>
      <c r="Y207" s="18" t="str">
        <f>VLOOKUP(A207,[3]Combi!$A$1:$B$304,2,0)</f>
        <v>SOP/PROD/HOSE/SPS/3/6</v>
      </c>
    </row>
    <row r="208" spans="1:26" s="18" customFormat="1" x14ac:dyDescent="0.25">
      <c r="A208" s="13" t="s">
        <v>1179</v>
      </c>
      <c r="B208" s="14" t="str">
        <f>VLOOKUP(A208,[1]Sheet1!$A$2:$F$379,2,0)</f>
        <v>44772-KK100</v>
      </c>
      <c r="C208" s="14" t="s">
        <v>780</v>
      </c>
      <c r="D208" s="14" t="s">
        <v>1224</v>
      </c>
      <c r="E208" s="15">
        <v>7.74</v>
      </c>
      <c r="F208" s="14" t="s">
        <v>1225</v>
      </c>
      <c r="G208" s="15">
        <v>6.1</v>
      </c>
      <c r="H208" s="14" t="s">
        <v>1226</v>
      </c>
      <c r="I208" s="15">
        <v>16.68</v>
      </c>
      <c r="J208" s="15">
        <f t="shared" si="7"/>
        <v>30.52</v>
      </c>
      <c r="K208" s="14" t="s">
        <v>1264</v>
      </c>
      <c r="L208" s="15">
        <v>0.74</v>
      </c>
      <c r="M208" s="15">
        <f t="shared" si="6"/>
        <v>31.259999999999998</v>
      </c>
      <c r="N208" s="14" t="str">
        <f>VLOOKUP(A208,[2]Sheet1!$B$4:$F$352,3,0)</f>
        <v>CHS3L</v>
      </c>
      <c r="O208" s="16">
        <f>VLOOKUP(A208,[2]Sheet1!$B$4:$F$352,4,0)</f>
        <v>0</v>
      </c>
      <c r="P208" s="16"/>
      <c r="Q208" s="16">
        <f>VLOOKUP(A208,[2]Sheet1!$B$4:$F$352,4,0)</f>
        <v>0</v>
      </c>
      <c r="R208" s="17">
        <f>VLOOKUP(A208,[1]Sheet1!$A$2:$F$379,3,0)</f>
        <v>8.73</v>
      </c>
      <c r="S208" s="16">
        <f>VLOOKUP(A208,[1]Sheet1!$A$2:$F$379,4,0)</f>
        <v>17.46</v>
      </c>
      <c r="T208" s="16">
        <f>VLOOKUP(A208,[1]Sheet1!$A$2:$F$379,5,0)</f>
        <v>147</v>
      </c>
      <c r="U208" s="16" t="str">
        <f>VLOOKUP(A208,[1]Sheet1!$A$2:$F$379,6,0)</f>
        <v>141-146</v>
      </c>
      <c r="V208" s="16"/>
      <c r="W208" s="16"/>
      <c r="X208" s="16"/>
      <c r="Y208" s="18" t="str">
        <f>VLOOKUP(A208,[3]Combi!$A$1:$B$304,2,0)</f>
        <v>SOP/PROD/HOSE/SPS/3/6</v>
      </c>
    </row>
    <row r="209" spans="1:26" s="18" customFormat="1" x14ac:dyDescent="0.25">
      <c r="A209" s="13" t="s">
        <v>1171</v>
      </c>
      <c r="B209" s="14" t="str">
        <f>VLOOKUP(A209,[1]Sheet1!$A$2:$F$379,2,0)</f>
        <v>17431-0C110</v>
      </c>
      <c r="C209" s="14" t="s">
        <v>763</v>
      </c>
      <c r="D209" s="14" t="s">
        <v>1224</v>
      </c>
      <c r="E209" s="15">
        <v>14.48</v>
      </c>
      <c r="F209" s="14" t="s">
        <v>1225</v>
      </c>
      <c r="G209" s="15">
        <v>12.46</v>
      </c>
      <c r="H209" s="14" t="s">
        <v>1226</v>
      </c>
      <c r="I209" s="15">
        <v>32.22</v>
      </c>
      <c r="J209" s="15">
        <f t="shared" si="7"/>
        <v>59.16</v>
      </c>
      <c r="K209" s="14" t="s">
        <v>1264</v>
      </c>
      <c r="L209" s="15">
        <v>1.56</v>
      </c>
      <c r="M209" s="15">
        <f t="shared" si="6"/>
        <v>60.72</v>
      </c>
      <c r="N209" s="14" t="str">
        <f>VLOOKUP(A209,[2]Sheet1!$B$4:$F$352,3,0)</f>
        <v>CHS3L</v>
      </c>
      <c r="O209" s="16">
        <f>VLOOKUP(A209,[2]Sheet1!$B$4:$F$352,4,0)</f>
        <v>0</v>
      </c>
      <c r="P209" s="16"/>
      <c r="Q209" s="16">
        <f>VLOOKUP(A209,[2]Sheet1!$B$4:$F$352,4,0)</f>
        <v>0</v>
      </c>
      <c r="R209" s="17">
        <f>VLOOKUP(A209,[1]Sheet1!$A$2:$F$379,3,0)</f>
        <v>7.5</v>
      </c>
      <c r="S209" s="16">
        <f>VLOOKUP(A209,[1]Sheet1!$A$2:$F$379,4,0)</f>
        <v>16</v>
      </c>
      <c r="T209" s="16">
        <f>VLOOKUP(A209,[1]Sheet1!$A$2:$F$379,5,0)</f>
        <v>289</v>
      </c>
      <c r="U209" s="16" t="str">
        <f>VLOOKUP(A209,[1]Sheet1!$A$2:$F$379,6,0)</f>
        <v>284±2</v>
      </c>
      <c r="V209" s="16"/>
      <c r="W209" s="16"/>
      <c r="X209" s="16"/>
      <c r="Y209" s="18" t="str">
        <f>VLOOKUP(A209,[3]Combi!$A$1:$B$304,2,0)</f>
        <v>SOP/PROD/HOSE/SPS/3/2</v>
      </c>
    </row>
    <row r="210" spans="1:26" s="18" customFormat="1" x14ac:dyDescent="0.25">
      <c r="A210" s="13" t="s">
        <v>1168</v>
      </c>
      <c r="B210" s="14" t="str">
        <f>VLOOKUP(A210,[1]Sheet1!$A$2:$F$379,2,0)</f>
        <v>17431-0C120</v>
      </c>
      <c r="C210" s="14" t="s">
        <v>757</v>
      </c>
      <c r="D210" s="14" t="s">
        <v>1224</v>
      </c>
      <c r="E210" s="15">
        <v>7.42</v>
      </c>
      <c r="F210" s="14" t="s">
        <v>1225</v>
      </c>
      <c r="G210" s="15">
        <v>6.06</v>
      </c>
      <c r="H210" s="14" t="s">
        <v>1226</v>
      </c>
      <c r="I210" s="15">
        <v>16.55</v>
      </c>
      <c r="J210" s="15">
        <f t="shared" si="7"/>
        <v>30.03</v>
      </c>
      <c r="K210" s="14" t="s">
        <v>1264</v>
      </c>
      <c r="L210" s="15">
        <v>0.73</v>
      </c>
      <c r="M210" s="15">
        <f t="shared" si="6"/>
        <v>30.759999999999998</v>
      </c>
      <c r="N210" s="14" t="str">
        <f>VLOOKUP(A210,[2]Sheet1!$B$4:$F$352,3,0)</f>
        <v>CHS3L</v>
      </c>
      <c r="O210" s="16">
        <f>VLOOKUP(A210,[2]Sheet1!$B$4:$F$352,4,0)</f>
        <v>0</v>
      </c>
      <c r="P210" s="16"/>
      <c r="Q210" s="16">
        <f>VLOOKUP(A210,[2]Sheet1!$B$4:$F$352,4,0)</f>
        <v>0</v>
      </c>
      <c r="R210" s="17">
        <f>VLOOKUP(A210,[1]Sheet1!$A$2:$F$379,3,0)</f>
        <v>7.5</v>
      </c>
      <c r="S210" s="16">
        <f>VLOOKUP(A210,[1]Sheet1!$A$2:$F$379,4,0)</f>
        <v>16</v>
      </c>
      <c r="T210" s="16">
        <f>VLOOKUP(A210,[1]Sheet1!$A$2:$F$379,5,0)</f>
        <v>474</v>
      </c>
      <c r="U210" s="16" t="str">
        <f>VLOOKUP(A210,[1]Sheet1!$A$2:$F$379,6,0)</f>
        <v>463±2</v>
      </c>
      <c r="V210" s="16"/>
      <c r="W210" s="16"/>
      <c r="X210" s="16"/>
      <c r="Y210" s="18" t="str">
        <f>VLOOKUP(A210,[3]Combi!$A$1:$B$304,2,0)</f>
        <v>SOP/PROD/HOSE/SPS/3/2</v>
      </c>
    </row>
    <row r="211" spans="1:26" s="18" customFormat="1" x14ac:dyDescent="0.25">
      <c r="A211" s="13" t="s">
        <v>1169</v>
      </c>
      <c r="B211" s="14" t="str">
        <f>VLOOKUP(A211,[1]Sheet1!$A$2:$F$379,2,0)</f>
        <v>44771-KK020</v>
      </c>
      <c r="C211" s="14" t="s">
        <v>759</v>
      </c>
      <c r="D211" s="14" t="s">
        <v>1224</v>
      </c>
      <c r="E211" s="15">
        <v>12.93</v>
      </c>
      <c r="F211" s="14" t="s">
        <v>1225</v>
      </c>
      <c r="G211" s="15">
        <v>10.57</v>
      </c>
      <c r="H211" s="14" t="s">
        <v>1226</v>
      </c>
      <c r="I211" s="15">
        <v>28.84</v>
      </c>
      <c r="J211" s="15">
        <f t="shared" si="7"/>
        <v>52.34</v>
      </c>
      <c r="K211" s="14" t="s">
        <v>1264</v>
      </c>
      <c r="L211" s="15">
        <v>1.28</v>
      </c>
      <c r="M211" s="15">
        <f t="shared" si="6"/>
        <v>53.62</v>
      </c>
      <c r="N211" s="14" t="str">
        <f>VLOOKUP(A211,[2]Sheet1!$B$4:$F$352,3,0)</f>
        <v>CHS3L</v>
      </c>
      <c r="O211" s="16">
        <f>VLOOKUP(A211,[2]Sheet1!$B$4:$F$352,4,0)</f>
        <v>0</v>
      </c>
      <c r="P211" s="16"/>
      <c r="Q211" s="16">
        <f>VLOOKUP(A211,[2]Sheet1!$B$4:$F$352,4,0)</f>
        <v>0</v>
      </c>
      <c r="R211" s="17">
        <f>VLOOKUP(A211,[1]Sheet1!$A$2:$F$379,3,0)</f>
        <v>8.73</v>
      </c>
      <c r="S211" s="16">
        <f>VLOOKUP(A211,[1]Sheet1!$A$2:$F$379,4,0)</f>
        <v>17.46</v>
      </c>
      <c r="T211" s="16">
        <f>VLOOKUP(A211,[1]Sheet1!$A$2:$F$379,5,0)</f>
        <v>146</v>
      </c>
      <c r="U211" s="16" t="str">
        <f>VLOOKUP(A211,[1]Sheet1!$A$2:$F$379,6,0)</f>
        <v>140-145</v>
      </c>
      <c r="V211" s="16"/>
      <c r="W211" s="16"/>
      <c r="X211" s="16"/>
      <c r="Y211" s="18" t="str">
        <f>VLOOKUP(A211,[3]Combi!$A$1:$B$304,2,0)</f>
        <v>SOP/PROD/HOSE/SPS/3/6</v>
      </c>
    </row>
    <row r="212" spans="1:26" s="18" customFormat="1" x14ac:dyDescent="0.25">
      <c r="A212" s="13" t="s">
        <v>1155</v>
      </c>
      <c r="B212" s="14" t="str">
        <f>VLOOKUP(A212,[1]Sheet1!$A$2:$F$379,2,0)</f>
        <v>44771-KK030</v>
      </c>
      <c r="C212" s="14" t="s">
        <v>725</v>
      </c>
      <c r="D212" s="14" t="s">
        <v>1224</v>
      </c>
      <c r="E212" s="15">
        <v>23.65</v>
      </c>
      <c r="F212" s="14" t="s">
        <v>1225</v>
      </c>
      <c r="G212" s="15">
        <v>20.34</v>
      </c>
      <c r="H212" s="14" t="s">
        <v>1226</v>
      </c>
      <c r="I212" s="15">
        <v>52.63</v>
      </c>
      <c r="J212" s="15">
        <f t="shared" si="7"/>
        <v>96.62</v>
      </c>
      <c r="K212" s="14" t="s">
        <v>1264</v>
      </c>
      <c r="L212" s="15">
        <v>2.5499999999999998</v>
      </c>
      <c r="M212" s="15">
        <f t="shared" si="6"/>
        <v>99.169999999999987</v>
      </c>
      <c r="N212" s="14" t="str">
        <f>VLOOKUP(A212,[2]Sheet1!$B$4:$F$352,3,0)</f>
        <v>CHS3L</v>
      </c>
      <c r="O212" s="16">
        <f>VLOOKUP(A212,[2]Sheet1!$B$4:$F$352,4,0)</f>
        <v>0</v>
      </c>
      <c r="P212" s="16"/>
      <c r="Q212" s="16">
        <f>VLOOKUP(A212,[2]Sheet1!$B$4:$F$352,4,0)</f>
        <v>0</v>
      </c>
      <c r="R212" s="17">
        <f>VLOOKUP(A212,[1]Sheet1!$A$2:$F$379,3,0)</f>
        <v>8.73</v>
      </c>
      <c r="S212" s="16">
        <f>VLOOKUP(A212,[1]Sheet1!$A$2:$F$379,4,0)</f>
        <v>17.46</v>
      </c>
      <c r="T212" s="16">
        <f>VLOOKUP(A212,[1]Sheet1!$A$2:$F$379,5,0)</f>
        <v>253</v>
      </c>
      <c r="U212" s="16" t="str">
        <f>VLOOKUP(A212,[1]Sheet1!$A$2:$F$379,6,0)</f>
        <v>248-250</v>
      </c>
      <c r="V212" s="16"/>
      <c r="W212" s="16"/>
      <c r="X212" s="16"/>
      <c r="Y212" s="18" t="str">
        <f>VLOOKUP(A212,[3]Combi!$A$1:$B$304,2,0)</f>
        <v>SOP/PROD/HOSE/SPS/3/6</v>
      </c>
    </row>
    <row r="213" spans="1:26" s="18" customFormat="1" x14ac:dyDescent="0.25">
      <c r="A213" s="13" t="s">
        <v>914</v>
      </c>
      <c r="B213" s="14" t="str">
        <f>VLOOKUP(A213,[1]Sheet1!$A$2:$F$379,2,0)</f>
        <v>16281-0C010</v>
      </c>
      <c r="C213" s="14" t="s">
        <v>99</v>
      </c>
      <c r="D213" s="14" t="s">
        <v>1237</v>
      </c>
      <c r="E213" s="15">
        <v>73.599999999999994</v>
      </c>
      <c r="F213" s="14"/>
      <c r="G213" s="14"/>
      <c r="H213" s="14"/>
      <c r="I213" s="14"/>
      <c r="J213" s="15">
        <f t="shared" si="7"/>
        <v>73.599999999999994</v>
      </c>
      <c r="K213" s="14" t="s">
        <v>1266</v>
      </c>
      <c r="L213" s="15">
        <v>2</v>
      </c>
      <c r="M213" s="15">
        <f t="shared" si="6"/>
        <v>75.599999999999994</v>
      </c>
      <c r="N213" s="14" t="e">
        <f>VLOOKUP(A213,[2]Sheet1!$B$4:$F$352,3,0)</f>
        <v>#N/A</v>
      </c>
      <c r="O213" s="16" t="e">
        <f>VLOOKUP(A213,[2]Sheet1!$B$4:$F$352,4,0)</f>
        <v>#N/A</v>
      </c>
      <c r="P213" s="16"/>
      <c r="Q213" s="16" t="e">
        <f>VLOOKUP(A213,[2]Sheet1!$B$4:$F$352,4,0)</f>
        <v>#N/A</v>
      </c>
      <c r="R213" s="17">
        <f>VLOOKUP(A213,[1]Sheet1!$A$2:$F$379,3,0)</f>
        <v>13</v>
      </c>
      <c r="S213" s="16">
        <f>VLOOKUP(A213,[1]Sheet1!$A$2:$F$379,4,0)</f>
        <v>21</v>
      </c>
      <c r="T213" s="16">
        <f>VLOOKUP(A213,[1]Sheet1!$A$2:$F$379,5,0)</f>
        <v>281</v>
      </c>
      <c r="U213" s="16" t="str">
        <f>VLOOKUP(A213,[1]Sheet1!$A$2:$F$379,6,0)</f>
        <v>274±1</v>
      </c>
      <c r="V213" s="16"/>
      <c r="W213" s="16"/>
      <c r="X213" s="16"/>
      <c r="Y213" s="18" t="str">
        <f>VLOOKUP(A213,[3]Combi!$A$1:$B$304,2,0)</f>
        <v>SOP/PROD/HOSE/SPS/2/9</v>
      </c>
    </row>
    <row r="214" spans="1:26" s="18" customFormat="1" x14ac:dyDescent="0.25">
      <c r="A214" s="13" t="s">
        <v>913</v>
      </c>
      <c r="B214" s="14" t="str">
        <f>VLOOKUP(A214,[1]Sheet1!$A$2:$F$379,2,0)</f>
        <v>16282-0C010</v>
      </c>
      <c r="C214" s="14" t="s">
        <v>95</v>
      </c>
      <c r="D214" s="14" t="s">
        <v>1237</v>
      </c>
      <c r="E214" s="15">
        <v>59</v>
      </c>
      <c r="F214" s="14"/>
      <c r="G214" s="14"/>
      <c r="H214" s="14"/>
      <c r="I214" s="14"/>
      <c r="J214" s="15">
        <f t="shared" si="7"/>
        <v>59</v>
      </c>
      <c r="K214" s="14" t="s">
        <v>1266</v>
      </c>
      <c r="L214" s="15">
        <v>2</v>
      </c>
      <c r="M214" s="15">
        <f t="shared" si="6"/>
        <v>61</v>
      </c>
      <c r="N214" s="14" t="e">
        <f>VLOOKUP(A214,[2]Sheet1!$B$4:$F$352,3,0)</f>
        <v>#N/A</v>
      </c>
      <c r="O214" s="16" t="e">
        <f>VLOOKUP(A214,[2]Sheet1!$B$4:$F$352,4,0)</f>
        <v>#N/A</v>
      </c>
      <c r="P214" s="16"/>
      <c r="Q214" s="16" t="e">
        <f>VLOOKUP(A214,[2]Sheet1!$B$4:$F$352,4,0)</f>
        <v>#N/A</v>
      </c>
      <c r="R214" s="17">
        <f>VLOOKUP(A214,[1]Sheet1!$A$2:$F$379,3,0)</f>
        <v>13</v>
      </c>
      <c r="S214" s="16">
        <f>VLOOKUP(A214,[1]Sheet1!$A$2:$F$379,4,0)</f>
        <v>21</v>
      </c>
      <c r="T214" s="16">
        <f>VLOOKUP(A214,[1]Sheet1!$A$2:$F$379,5,0)</f>
        <v>206</v>
      </c>
      <c r="U214" s="16" t="str">
        <f>VLOOKUP(A214,[1]Sheet1!$A$2:$F$379,6,0)</f>
        <v>199±1</v>
      </c>
      <c r="V214" s="16"/>
      <c r="W214" s="16"/>
      <c r="X214" s="16"/>
      <c r="Y214" s="18" t="str">
        <f>VLOOKUP(A214,[3]Combi!$A$1:$B$304,2,0)</f>
        <v>SOP/PROD/HOSE/SPS/2/9</v>
      </c>
    </row>
    <row r="215" spans="1:26" s="18" customFormat="1" x14ac:dyDescent="0.25">
      <c r="A215" s="13" t="s">
        <v>1176</v>
      </c>
      <c r="B215" s="14" t="str">
        <f>VLOOKUP(A215,[1]Sheet1!$A$2:$F$379,2,0)</f>
        <v>17341-0C070</v>
      </c>
      <c r="C215" s="14" t="s">
        <v>774</v>
      </c>
      <c r="D215" s="14" t="s">
        <v>1235</v>
      </c>
      <c r="E215" s="15">
        <v>124</v>
      </c>
      <c r="F215" s="14" t="s">
        <v>1230</v>
      </c>
      <c r="G215" s="15">
        <v>37</v>
      </c>
      <c r="H215" s="14"/>
      <c r="I215" s="14"/>
      <c r="J215" s="15">
        <f t="shared" si="7"/>
        <v>161</v>
      </c>
      <c r="K215" s="14"/>
      <c r="L215" s="14"/>
      <c r="M215" s="15">
        <f t="shared" si="6"/>
        <v>161</v>
      </c>
      <c r="N215" s="14" t="str">
        <f>VLOOKUP(A215,[2]Sheet1!$B$4:$F$352,3,0)</f>
        <v>DL2</v>
      </c>
      <c r="O215" s="16">
        <f>VLOOKUP(A215,[2]Sheet1!$B$4:$F$352,4,0)</f>
        <v>4</v>
      </c>
      <c r="P215" s="16"/>
      <c r="Q215" s="16">
        <f>VLOOKUP(A215,[2]Sheet1!$B$4:$F$352,4,0)</f>
        <v>4</v>
      </c>
      <c r="R215" s="17">
        <f>VLOOKUP(A215,[1]Sheet1!$A$2:$F$379,3,0)</f>
        <v>24.5</v>
      </c>
      <c r="S215" s="16">
        <f>VLOOKUP(A215,[1]Sheet1!$A$2:$F$379,4,0)</f>
        <v>31.5</v>
      </c>
      <c r="T215" s="16" t="str">
        <f>VLOOKUP(A215,[1]Sheet1!$A$2:$F$379,5,0)</f>
        <v>338±2</v>
      </c>
      <c r="U215" s="16" t="str">
        <f>VLOOKUP(A215,[1]Sheet1!$A$2:$F$379,6,0)</f>
        <v>306-310</v>
      </c>
      <c r="V215" s="16"/>
      <c r="W215" s="16"/>
      <c r="X215" s="16"/>
      <c r="Y215" s="18" t="e">
        <f>VLOOKUP(A215,[3]Combi!$A$1:$B$304,2,0)</f>
        <v>#N/A</v>
      </c>
      <c r="Z215" s="22" t="s">
        <v>1312</v>
      </c>
    </row>
    <row r="216" spans="1:26" s="18" customFormat="1" x14ac:dyDescent="0.25">
      <c r="A216" s="13" t="s">
        <v>1180</v>
      </c>
      <c r="B216" s="14" t="str">
        <f>VLOOKUP(A216,[1]Sheet1!$A$2:$F$379,2,0)</f>
        <v>44772-KK110</v>
      </c>
      <c r="C216" s="14" t="s">
        <v>782</v>
      </c>
      <c r="D216" s="14" t="s">
        <v>1224</v>
      </c>
      <c r="E216" s="15">
        <v>12.41</v>
      </c>
      <c r="F216" s="14" t="s">
        <v>1225</v>
      </c>
      <c r="G216" s="15">
        <v>10.15</v>
      </c>
      <c r="H216" s="14" t="s">
        <v>1226</v>
      </c>
      <c r="I216" s="15">
        <v>27.69</v>
      </c>
      <c r="J216" s="15">
        <f t="shared" si="7"/>
        <v>50.25</v>
      </c>
      <c r="K216" s="14" t="s">
        <v>1264</v>
      </c>
      <c r="L216" s="15">
        <v>1.23</v>
      </c>
      <c r="M216" s="15">
        <f t="shared" si="6"/>
        <v>51.480000000000004</v>
      </c>
      <c r="N216" s="14" t="str">
        <f>VLOOKUP(A216,[2]Sheet1!$B$4:$F$352,3,0)</f>
        <v>CHS3L</v>
      </c>
      <c r="O216" s="16">
        <f>VLOOKUP(A216,[2]Sheet1!$B$4:$F$352,4,0)</f>
        <v>2</v>
      </c>
      <c r="P216" s="16"/>
      <c r="Q216" s="16">
        <f>VLOOKUP(A216,[2]Sheet1!$B$4:$F$352,4,0)</f>
        <v>2</v>
      </c>
      <c r="R216" s="17">
        <f>VLOOKUP(A216,[1]Sheet1!$A$2:$F$379,3,0)</f>
        <v>8.73</v>
      </c>
      <c r="S216" s="16">
        <f>VLOOKUP(A216,[1]Sheet1!$A$2:$F$379,4,0)</f>
        <v>17.46</v>
      </c>
      <c r="T216" s="16">
        <f>VLOOKUP(A216,[1]Sheet1!$A$2:$F$379,5,0)</f>
        <v>243</v>
      </c>
      <c r="U216" s="16" t="str">
        <f>VLOOKUP(A216,[1]Sheet1!$A$2:$F$379,6,0)</f>
        <v>238-240</v>
      </c>
      <c r="V216" s="16"/>
      <c r="W216" s="16"/>
      <c r="X216" s="16"/>
      <c r="Y216" s="18" t="str">
        <f>VLOOKUP(A216,[3]Combi!$A$1:$B$304,2,0)</f>
        <v>SOP/PROD/HOSE/SPS/3/6</v>
      </c>
    </row>
    <row r="217" spans="1:26" s="18" customFormat="1" x14ac:dyDescent="0.25">
      <c r="A217" s="13" t="s">
        <v>1154</v>
      </c>
      <c r="B217" s="14" t="str">
        <f>VLOOKUP(A217,[1]Sheet1!$A$2:$F$379,2,0)</f>
        <v>33019-0K010</v>
      </c>
      <c r="C217" s="14" t="s">
        <v>723</v>
      </c>
      <c r="D217" s="14" t="s">
        <v>1247</v>
      </c>
      <c r="E217" s="15">
        <v>47</v>
      </c>
      <c r="F217" s="14" t="s">
        <v>1230</v>
      </c>
      <c r="G217" s="15">
        <v>31</v>
      </c>
      <c r="H217" s="14"/>
      <c r="I217" s="14"/>
      <c r="J217" s="15">
        <f t="shared" si="7"/>
        <v>78</v>
      </c>
      <c r="K217" s="14"/>
      <c r="L217" s="14"/>
      <c r="M217" s="15">
        <f t="shared" si="6"/>
        <v>78</v>
      </c>
      <c r="N217" s="14" t="str">
        <f>VLOOKUP(A217,[2]Sheet1!$B$4:$F$352,3,0)</f>
        <v>DL1</v>
      </c>
      <c r="O217" s="16">
        <f>VLOOKUP(A217,[2]Sheet1!$B$4:$F$352,4,0)</f>
        <v>1</v>
      </c>
      <c r="P217" s="16"/>
      <c r="Q217" s="16">
        <f>VLOOKUP(A217,[2]Sheet1!$B$4:$F$352,4,0)</f>
        <v>1</v>
      </c>
      <c r="R217" s="17">
        <f>VLOOKUP(A217,[1]Sheet1!$A$2:$F$379,3,0)</f>
        <v>3.5</v>
      </c>
      <c r="S217" s="16">
        <f>VLOOKUP(A217,[1]Sheet1!$A$2:$F$379,4,0)</f>
        <v>7.5</v>
      </c>
      <c r="T217" s="16" t="str">
        <f>VLOOKUP(A217,[1]Sheet1!$A$2:$F$379,5,0)</f>
        <v>788±2</v>
      </c>
      <c r="U217" s="16">
        <f>VLOOKUP(A217,[1]Sheet1!$A$2:$F$379,6,0)</f>
        <v>0</v>
      </c>
      <c r="V217" s="16"/>
      <c r="W217" s="16"/>
      <c r="X217" s="16"/>
      <c r="Y217" s="18" t="str">
        <f>VLOOKUP(A217,[3]Combi!$A$1:$B$304,2,0)</f>
        <v>SOP/PROD/HOSE/SPS/1/1</v>
      </c>
    </row>
    <row r="218" spans="1:26" s="18" customFormat="1" x14ac:dyDescent="0.25">
      <c r="A218" s="13" t="s">
        <v>1153</v>
      </c>
      <c r="B218" s="14" t="str">
        <f>VLOOKUP(A218,[1]Sheet1!$A$2:$F$379,2,0)</f>
        <v>23271-0C140</v>
      </c>
      <c r="C218" s="14" t="s">
        <v>721</v>
      </c>
      <c r="D218" s="14" t="s">
        <v>1221</v>
      </c>
      <c r="E218" s="15">
        <v>21.98</v>
      </c>
      <c r="F218" s="14" t="s">
        <v>1222</v>
      </c>
      <c r="G218" s="15">
        <v>22.57</v>
      </c>
      <c r="H218" s="14" t="s">
        <v>1223</v>
      </c>
      <c r="I218" s="15">
        <v>35.909999999999997</v>
      </c>
      <c r="J218" s="15">
        <f t="shared" si="7"/>
        <v>80.459999999999994</v>
      </c>
      <c r="K218" s="14" t="s">
        <v>1263</v>
      </c>
      <c r="L218" s="15">
        <v>3.78</v>
      </c>
      <c r="M218" s="15">
        <f t="shared" si="6"/>
        <v>84.24</v>
      </c>
      <c r="N218" s="14" t="e">
        <f>VLOOKUP(A218,[2]Sheet1!$B$4:$F$352,3,0)</f>
        <v>#N/A</v>
      </c>
      <c r="O218" s="16" t="e">
        <f>VLOOKUP(A218,[2]Sheet1!$B$4:$F$352,4,0)</f>
        <v>#N/A</v>
      </c>
      <c r="P218" s="16"/>
      <c r="Q218" s="16" t="e">
        <f>VLOOKUP(A218,[2]Sheet1!$B$4:$F$352,4,0)</f>
        <v>#N/A</v>
      </c>
      <c r="R218" s="17">
        <f>VLOOKUP(A218,[1]Sheet1!$A$2:$F$379,3,0)</f>
        <v>9.5</v>
      </c>
      <c r="S218" s="16">
        <f>VLOOKUP(A218,[1]Sheet1!$A$2:$F$379,4,0)</f>
        <v>16.5</v>
      </c>
      <c r="T218" s="16">
        <f>VLOOKUP(A218,[1]Sheet1!$A$2:$F$379,5,0)</f>
        <v>543</v>
      </c>
      <c r="U218" s="16" t="str">
        <f>VLOOKUP(A218,[1]Sheet1!$A$2:$F$379,6,0)</f>
        <v>530±5</v>
      </c>
      <c r="V218" s="16"/>
      <c r="W218" s="16"/>
      <c r="X218" s="16"/>
      <c r="Y218" s="18" t="str">
        <f>VLOOKUP(A218,[3]Combi!$A$1:$B$304,2,0)</f>
        <v>SOP/PROD/HOSE/SPS/3/10</v>
      </c>
    </row>
    <row r="219" spans="1:26" s="18" customFormat="1" x14ac:dyDescent="0.25">
      <c r="A219" s="13" t="s">
        <v>1143</v>
      </c>
      <c r="B219" s="14" t="str">
        <f>VLOOKUP(A219,[1]Sheet1!$A$2:$F$379,2,0)</f>
        <v>33019-0K110</v>
      </c>
      <c r="C219" s="14" t="s">
        <v>699</v>
      </c>
      <c r="D219" s="14" t="s">
        <v>1247</v>
      </c>
      <c r="E219" s="15">
        <v>39.6</v>
      </c>
      <c r="F219" s="14" t="s">
        <v>1230</v>
      </c>
      <c r="G219" s="15">
        <v>27.4</v>
      </c>
      <c r="H219" s="14"/>
      <c r="I219" s="14"/>
      <c r="J219" s="15">
        <f t="shared" si="7"/>
        <v>67</v>
      </c>
      <c r="K219" s="14"/>
      <c r="L219" s="14"/>
      <c r="M219" s="15">
        <f t="shared" si="6"/>
        <v>67</v>
      </c>
      <c r="N219" s="14" t="str">
        <f>VLOOKUP(A219,[2]Sheet1!$B$4:$F$352,3,0)</f>
        <v>DL1</v>
      </c>
      <c r="O219" s="16">
        <f>VLOOKUP(A219,[2]Sheet1!$B$4:$F$352,4,0)</f>
        <v>0</v>
      </c>
      <c r="P219" s="16"/>
      <c r="Q219" s="16">
        <f>VLOOKUP(A219,[2]Sheet1!$B$4:$F$352,4,0)</f>
        <v>0</v>
      </c>
      <c r="R219" s="17">
        <f>VLOOKUP(A219,[1]Sheet1!$A$2:$F$379,3,0)</f>
        <v>3.5</v>
      </c>
      <c r="S219" s="16">
        <f>VLOOKUP(A219,[1]Sheet1!$A$2:$F$379,4,0)</f>
        <v>7.5</v>
      </c>
      <c r="T219" s="16" t="str">
        <f>VLOOKUP(A219,[1]Sheet1!$A$2:$F$379,5,0)</f>
        <v>733±2</v>
      </c>
      <c r="U219" s="16">
        <f>VLOOKUP(A219,[1]Sheet1!$A$2:$F$379,6,0)</f>
        <v>0</v>
      </c>
      <c r="V219" s="16"/>
      <c r="W219" s="16"/>
      <c r="X219" s="16"/>
      <c r="Y219" s="18" t="e">
        <f>VLOOKUP(A219,[3]Combi!$A$1:$B$304,2,0)</f>
        <v>#N/A</v>
      </c>
      <c r="Z219" s="22" t="s">
        <v>1310</v>
      </c>
    </row>
    <row r="220" spans="1:26" s="18" customFormat="1" x14ac:dyDescent="0.25">
      <c r="A220" s="13" t="s">
        <v>1159</v>
      </c>
      <c r="B220" s="14" t="str">
        <f>VLOOKUP(A220,[1]Sheet1!$A$2:$F$379,2,0)</f>
        <v>44774-KK050</v>
      </c>
      <c r="C220" s="14" t="s">
        <v>733</v>
      </c>
      <c r="D220" s="14" t="s">
        <v>1224</v>
      </c>
      <c r="E220" s="15">
        <v>32.5</v>
      </c>
      <c r="F220" s="14" t="s">
        <v>1225</v>
      </c>
      <c r="G220" s="15">
        <v>26.57</v>
      </c>
      <c r="H220" s="14" t="s">
        <v>1226</v>
      </c>
      <c r="I220" s="15">
        <v>72.5</v>
      </c>
      <c r="J220" s="15">
        <f t="shared" si="7"/>
        <v>131.57</v>
      </c>
      <c r="K220" s="14" t="s">
        <v>1264</v>
      </c>
      <c r="L220" s="15">
        <v>3.22</v>
      </c>
      <c r="M220" s="15">
        <f t="shared" si="6"/>
        <v>134.79</v>
      </c>
      <c r="N220" s="14" t="str">
        <f>VLOOKUP(A220,[2]Sheet1!$B$4:$F$352,3,0)</f>
        <v>CHS3L</v>
      </c>
      <c r="O220" s="16">
        <f>VLOOKUP(A220,[2]Sheet1!$B$4:$F$352,4,0)</f>
        <v>2</v>
      </c>
      <c r="P220" s="16"/>
      <c r="Q220" s="16">
        <f>VLOOKUP(A220,[2]Sheet1!$B$4:$F$352,4,0)</f>
        <v>2</v>
      </c>
      <c r="R220" s="17">
        <f>VLOOKUP(A220,[1]Sheet1!$A$2:$F$379,3,0)</f>
        <v>8.73</v>
      </c>
      <c r="S220" s="16">
        <f>VLOOKUP(A220,[1]Sheet1!$A$2:$F$379,4,0)</f>
        <v>17.46</v>
      </c>
      <c r="T220" s="16">
        <f>VLOOKUP(A220,[1]Sheet1!$A$2:$F$379,5,0)</f>
        <v>633</v>
      </c>
      <c r="U220" s="16" t="str">
        <f>VLOOKUP(A220,[1]Sheet1!$A$2:$F$379,6,0)</f>
        <v>624-625</v>
      </c>
      <c r="V220" s="16"/>
      <c r="W220" s="16"/>
      <c r="X220" s="16"/>
      <c r="Y220" s="18" t="str">
        <f>VLOOKUP(A220,[3]Combi!$A$1:$B$304,2,0)</f>
        <v>SOP/PROD/HOSE/SPS/3/6</v>
      </c>
    </row>
    <row r="221" spans="1:26" s="18" customFormat="1" x14ac:dyDescent="0.25">
      <c r="A221" s="13" t="s">
        <v>1166</v>
      </c>
      <c r="B221" s="14" t="str">
        <f>VLOOKUP(A221,[1]Sheet1!$A$2:$F$379,2,0)</f>
        <v>17342-0C070</v>
      </c>
      <c r="C221" s="14" t="s">
        <v>753</v>
      </c>
      <c r="D221" s="14" t="s">
        <v>1235</v>
      </c>
      <c r="E221" s="15">
        <v>122.6</v>
      </c>
      <c r="F221" s="14" t="s">
        <v>1230</v>
      </c>
      <c r="G221" s="15">
        <v>21.69</v>
      </c>
      <c r="H221" s="14"/>
      <c r="I221" s="14"/>
      <c r="J221" s="15">
        <f t="shared" si="7"/>
        <v>144.29</v>
      </c>
      <c r="K221" s="14"/>
      <c r="L221" s="14"/>
      <c r="M221" s="15">
        <f t="shared" si="6"/>
        <v>144.29</v>
      </c>
      <c r="N221" s="14" t="str">
        <f>VLOOKUP(A221,[2]Sheet1!$B$4:$F$352,3,0)</f>
        <v>DL2</v>
      </c>
      <c r="O221" s="16">
        <f>VLOOKUP(A221,[2]Sheet1!$B$4:$F$352,4,0)</f>
        <v>5</v>
      </c>
      <c r="P221" s="16"/>
      <c r="Q221" s="16">
        <f>VLOOKUP(A221,[2]Sheet1!$B$4:$F$352,4,0)</f>
        <v>5</v>
      </c>
      <c r="R221" s="17">
        <f>VLOOKUP(A221,[1]Sheet1!$A$2:$F$379,3,0)</f>
        <v>24.5</v>
      </c>
      <c r="S221" s="16">
        <f>VLOOKUP(A221,[1]Sheet1!$A$2:$F$379,4,0)</f>
        <v>31.5</v>
      </c>
      <c r="T221" s="16" t="str">
        <f>VLOOKUP(A221,[1]Sheet1!$A$2:$F$379,5,0)</f>
        <v>453±2</v>
      </c>
      <c r="U221" s="16" t="str">
        <f>VLOOKUP(A221,[1]Sheet1!$A$2:$F$379,6,0)</f>
        <v>418-422</v>
      </c>
      <c r="V221" s="16"/>
      <c r="W221" s="16"/>
      <c r="X221" s="16"/>
      <c r="Y221" s="18" t="e">
        <f>VLOOKUP(A221,[3]Combi!$A$1:$B$304,2,0)</f>
        <v>#N/A</v>
      </c>
      <c r="Z221" s="22" t="s">
        <v>1312</v>
      </c>
    </row>
    <row r="222" spans="1:26" s="18" customFormat="1" x14ac:dyDescent="0.25">
      <c r="A222" s="13" t="s">
        <v>1158</v>
      </c>
      <c r="B222" s="14" t="str">
        <f>VLOOKUP(A222,[1]Sheet1!$A$2:$F$379,2,0)</f>
        <v>44772-KK090</v>
      </c>
      <c r="C222" s="14" t="s">
        <v>731</v>
      </c>
      <c r="D222" s="14" t="s">
        <v>1224</v>
      </c>
      <c r="E222" s="15">
        <v>12.41</v>
      </c>
      <c r="F222" s="14" t="s">
        <v>1225</v>
      </c>
      <c r="G222" s="15">
        <v>10.15</v>
      </c>
      <c r="H222" s="14" t="s">
        <v>1226</v>
      </c>
      <c r="I222" s="15">
        <v>27.69</v>
      </c>
      <c r="J222" s="15">
        <f t="shared" si="7"/>
        <v>50.25</v>
      </c>
      <c r="K222" s="14" t="s">
        <v>1264</v>
      </c>
      <c r="L222" s="15">
        <v>1.23</v>
      </c>
      <c r="M222" s="15">
        <f t="shared" si="6"/>
        <v>51.480000000000004</v>
      </c>
      <c r="N222" s="14" t="str">
        <f>VLOOKUP(A222,[2]Sheet1!$B$4:$F$352,3,0)</f>
        <v>CHS3L</v>
      </c>
      <c r="O222" s="16">
        <f>VLOOKUP(A222,[2]Sheet1!$B$4:$F$352,4,0)</f>
        <v>1</v>
      </c>
      <c r="P222" s="16"/>
      <c r="Q222" s="16">
        <f>VLOOKUP(A222,[2]Sheet1!$B$4:$F$352,4,0)</f>
        <v>1</v>
      </c>
      <c r="R222" s="17">
        <f>VLOOKUP(A222,[1]Sheet1!$A$2:$F$379,3,0)</f>
        <v>8.73</v>
      </c>
      <c r="S222" s="16">
        <f>VLOOKUP(A222,[1]Sheet1!$A$2:$F$379,4,0)</f>
        <v>17.46</v>
      </c>
      <c r="T222" s="16">
        <f>VLOOKUP(A222,[1]Sheet1!$A$2:$F$379,5,0)</f>
        <v>243</v>
      </c>
      <c r="U222" s="16" t="str">
        <f>VLOOKUP(A222,[1]Sheet1!$A$2:$F$379,6,0)</f>
        <v>238-240</v>
      </c>
      <c r="V222" s="16"/>
      <c r="W222" s="16"/>
      <c r="X222" s="16"/>
      <c r="Y222" s="18" t="str">
        <f>VLOOKUP(A222,[3]Combi!$A$1:$B$304,2,0)</f>
        <v>SOP/PROD/HOSE/SPS/3/6</v>
      </c>
    </row>
    <row r="223" spans="1:26" s="18" customFormat="1" x14ac:dyDescent="0.25">
      <c r="A223" s="13" t="s">
        <v>903</v>
      </c>
      <c r="B223" s="14" t="str">
        <f>VLOOKUP(A223,[1]Sheet1!$A$2:$F$379,2,0)</f>
        <v>33019-0K070</v>
      </c>
      <c r="C223" s="14" t="s">
        <v>65</v>
      </c>
      <c r="D223" s="14" t="s">
        <v>1234</v>
      </c>
      <c r="E223" s="15">
        <v>24.2</v>
      </c>
      <c r="F223" s="14"/>
      <c r="G223" s="14"/>
      <c r="H223" s="14"/>
      <c r="I223" s="14"/>
      <c r="J223" s="15">
        <f t="shared" si="7"/>
        <v>24.2</v>
      </c>
      <c r="K223" s="14"/>
      <c r="L223" s="14"/>
      <c r="M223" s="15">
        <f t="shared" si="6"/>
        <v>24.2</v>
      </c>
      <c r="N223" s="14" t="str">
        <f>VLOOKUP(A223,[2]Sheet1!$B$4:$F$352,3,0)</f>
        <v>DL1</v>
      </c>
      <c r="O223" s="16">
        <f>VLOOKUP(A223,[2]Sheet1!$B$4:$F$352,4,0)</f>
        <v>0</v>
      </c>
      <c r="P223" s="16"/>
      <c r="Q223" s="16">
        <f>VLOOKUP(A223,[2]Sheet1!$B$4:$F$352,4,0)</f>
        <v>0</v>
      </c>
      <c r="R223" s="17">
        <f>VLOOKUP(A223,[1]Sheet1!$A$2:$F$379,3,0)</f>
        <v>3.5</v>
      </c>
      <c r="S223" s="16">
        <f>VLOOKUP(A223,[1]Sheet1!$A$2:$F$379,4,0)</f>
        <v>7.5</v>
      </c>
      <c r="T223" s="16" t="str">
        <f>VLOOKUP(A223,[1]Sheet1!$A$2:$F$379,5,0)</f>
        <v>603±2</v>
      </c>
      <c r="U223" s="16">
        <f>VLOOKUP(A223,[1]Sheet1!$A$2:$F$379,6,0)</f>
        <v>0</v>
      </c>
      <c r="V223" s="16"/>
      <c r="W223" s="16"/>
      <c r="X223" s="16"/>
      <c r="Y223" s="18" t="e">
        <f>VLOOKUP(A223,[3]Combi!$A$1:$B$304,2,0)</f>
        <v>#N/A</v>
      </c>
      <c r="Z223" s="22" t="s">
        <v>1310</v>
      </c>
    </row>
    <row r="224" spans="1:26" s="18" customFormat="1" x14ac:dyDescent="0.25">
      <c r="A224" s="13" t="s">
        <v>1160</v>
      </c>
      <c r="B224" s="14" t="str">
        <f>VLOOKUP(A224,[1]Sheet1!$A$2:$F$379,2,0)</f>
        <v>44774-KK090</v>
      </c>
      <c r="C224" s="14" t="s">
        <v>735</v>
      </c>
      <c r="D224" s="14" t="s">
        <v>1224</v>
      </c>
      <c r="E224" s="15">
        <v>14.27</v>
      </c>
      <c r="F224" s="14" t="s">
        <v>1225</v>
      </c>
      <c r="G224" s="15">
        <v>11.66</v>
      </c>
      <c r="H224" s="14" t="s">
        <v>1226</v>
      </c>
      <c r="I224" s="15">
        <v>31.83</v>
      </c>
      <c r="J224" s="15">
        <f t="shared" si="7"/>
        <v>57.76</v>
      </c>
      <c r="K224" s="14" t="s">
        <v>1264</v>
      </c>
      <c r="L224" s="15">
        <v>1.41</v>
      </c>
      <c r="M224" s="15">
        <f t="shared" si="6"/>
        <v>59.169999999999987</v>
      </c>
      <c r="N224" s="14" t="str">
        <f>VLOOKUP(A224,[2]Sheet1!$B$4:$F$352,3,0)</f>
        <v>CHS3L</v>
      </c>
      <c r="O224" s="16">
        <f>VLOOKUP(A224,[2]Sheet1!$B$4:$F$352,4,0)</f>
        <v>2</v>
      </c>
      <c r="P224" s="16"/>
      <c r="Q224" s="16">
        <f>VLOOKUP(A224,[2]Sheet1!$B$4:$F$352,4,0)</f>
        <v>2</v>
      </c>
      <c r="R224" s="17">
        <f>VLOOKUP(A224,[1]Sheet1!$A$2:$F$379,3,0)</f>
        <v>8.73</v>
      </c>
      <c r="S224" s="16">
        <f>VLOOKUP(A224,[1]Sheet1!$A$2:$F$379,4,0)</f>
        <v>17.46</v>
      </c>
      <c r="T224" s="16">
        <f>VLOOKUP(A224,[1]Sheet1!$A$2:$F$379,5,0)</f>
        <v>279</v>
      </c>
      <c r="U224" s="16" t="str">
        <f>VLOOKUP(A224,[1]Sheet1!$A$2:$F$379,6,0)</f>
        <v>273-276</v>
      </c>
      <c r="V224" s="16"/>
      <c r="W224" s="16"/>
      <c r="X224" s="16"/>
      <c r="Y224" s="18" t="str">
        <f>VLOOKUP(A224,[3]Combi!$A$1:$B$304,2,0)</f>
        <v>SOP/PROD/HOSE/SPS/3/6</v>
      </c>
    </row>
    <row r="225" spans="1:26" s="18" customFormat="1" x14ac:dyDescent="0.25">
      <c r="A225" s="13" t="s">
        <v>1177</v>
      </c>
      <c r="B225" s="14" t="str">
        <f>VLOOKUP(A225,[1]Sheet1!$A$2:$F$379,2,0)</f>
        <v>17344-0C070</v>
      </c>
      <c r="C225" s="14" t="s">
        <v>776</v>
      </c>
      <c r="D225" s="14" t="s">
        <v>1235</v>
      </c>
      <c r="E225" s="15">
        <v>142.21</v>
      </c>
      <c r="F225" s="14" t="s">
        <v>1230</v>
      </c>
      <c r="G225" s="15">
        <v>37.840000000000003</v>
      </c>
      <c r="H225" s="14"/>
      <c r="I225" s="14"/>
      <c r="J225" s="15">
        <f t="shared" si="7"/>
        <v>180.05</v>
      </c>
      <c r="K225" s="14"/>
      <c r="L225" s="14"/>
      <c r="M225" s="15">
        <f t="shared" si="6"/>
        <v>180.05</v>
      </c>
      <c r="N225" s="14" t="str">
        <f>VLOOKUP(A225,[2]Sheet1!$B$4:$F$352,3,0)</f>
        <v>DL2</v>
      </c>
      <c r="O225" s="16">
        <f>VLOOKUP(A225,[2]Sheet1!$B$4:$F$352,4,0)</f>
        <v>4</v>
      </c>
      <c r="P225" s="16"/>
      <c r="Q225" s="16">
        <f>VLOOKUP(A225,[2]Sheet1!$B$4:$F$352,4,0)</f>
        <v>4</v>
      </c>
      <c r="R225" s="17">
        <f>VLOOKUP(A225,[1]Sheet1!$A$2:$F$379,3,0)</f>
        <v>18</v>
      </c>
      <c r="S225" s="16">
        <f>VLOOKUP(A225,[1]Sheet1!$A$2:$F$379,4,0)</f>
        <v>25</v>
      </c>
      <c r="T225" s="16" t="str">
        <f>VLOOKUP(A225,[1]Sheet1!$A$2:$F$379,5,0)</f>
        <v>738±2</v>
      </c>
      <c r="U225" s="16">
        <f>VLOOKUP(A225,[1]Sheet1!$A$2:$F$379,6,0)</f>
        <v>0</v>
      </c>
      <c r="V225" s="16"/>
      <c r="W225" s="16"/>
      <c r="X225" s="16"/>
      <c r="Y225" s="18" t="e">
        <f>VLOOKUP(A225,[3]Combi!$A$1:$B$304,2,0)</f>
        <v>#N/A</v>
      </c>
      <c r="Z225" s="22" t="s">
        <v>1313</v>
      </c>
    </row>
    <row r="226" spans="1:26" s="18" customFormat="1" x14ac:dyDescent="0.25">
      <c r="A226" s="13" t="s">
        <v>1173</v>
      </c>
      <c r="B226" s="14" t="str">
        <f>VLOOKUP(A226,[1]Sheet1!$A$2:$F$379,2,0)</f>
        <v>44772-KK130</v>
      </c>
      <c r="C226" s="14" t="s">
        <v>767</v>
      </c>
      <c r="D226" s="14" t="s">
        <v>1224</v>
      </c>
      <c r="E226" s="15">
        <v>7.88</v>
      </c>
      <c r="F226" s="14" t="s">
        <v>1225</v>
      </c>
      <c r="G226" s="15">
        <v>6.44</v>
      </c>
      <c r="H226" s="14" t="s">
        <v>1226</v>
      </c>
      <c r="I226" s="15">
        <v>17.579999999999998</v>
      </c>
      <c r="J226" s="15">
        <f t="shared" si="7"/>
        <v>31.9</v>
      </c>
      <c r="K226" s="14" t="s">
        <v>1264</v>
      </c>
      <c r="L226" s="15">
        <v>0.78</v>
      </c>
      <c r="M226" s="15">
        <f t="shared" si="6"/>
        <v>32.68</v>
      </c>
      <c r="N226" s="14" t="str">
        <f>VLOOKUP(A226,[2]Sheet1!$B$4:$F$352,3,0)</f>
        <v>CHS3L</v>
      </c>
      <c r="O226" s="16">
        <f>VLOOKUP(A226,[2]Sheet1!$B$4:$F$352,4,0)</f>
        <v>2</v>
      </c>
      <c r="P226" s="16"/>
      <c r="Q226" s="16">
        <f>VLOOKUP(A226,[2]Sheet1!$B$4:$F$352,4,0)</f>
        <v>2</v>
      </c>
      <c r="R226" s="17">
        <f>VLOOKUP(A226,[1]Sheet1!$A$2:$F$379,3,0)</f>
        <v>8.73</v>
      </c>
      <c r="S226" s="16">
        <f>VLOOKUP(A226,[1]Sheet1!$A$2:$F$379,4,0)</f>
        <v>17.46</v>
      </c>
      <c r="T226" s="16">
        <f>VLOOKUP(A226,[1]Sheet1!$A$2:$F$379,5,0)</f>
        <v>157</v>
      </c>
      <c r="U226" s="16" t="str">
        <f>VLOOKUP(A226,[1]Sheet1!$A$2:$F$379,6,0)</f>
        <v>150-156</v>
      </c>
      <c r="V226" s="16"/>
      <c r="W226" s="16"/>
      <c r="X226" s="16"/>
      <c r="Y226" s="18" t="str">
        <f>VLOOKUP(A226,[3]Combi!$A$1:$B$304,2,0)</f>
        <v>SOP/PROD/HOSE/SPS/3/6</v>
      </c>
    </row>
    <row r="227" spans="1:26" s="18" customFormat="1" x14ac:dyDescent="0.25">
      <c r="A227" s="13" t="s">
        <v>1178</v>
      </c>
      <c r="B227" s="14" t="str">
        <f>VLOOKUP(A227,[1]Sheet1!$A$2:$F$379,2,0)</f>
        <v>33019-0K120</v>
      </c>
      <c r="C227" s="14" t="s">
        <v>778</v>
      </c>
      <c r="D227" s="14" t="s">
        <v>1247</v>
      </c>
      <c r="E227" s="15">
        <v>40</v>
      </c>
      <c r="F227" s="14" t="s">
        <v>1230</v>
      </c>
      <c r="G227" s="15">
        <v>27</v>
      </c>
      <c r="H227" s="14"/>
      <c r="I227" s="14"/>
      <c r="J227" s="15">
        <f t="shared" si="7"/>
        <v>67</v>
      </c>
      <c r="K227" s="14"/>
      <c r="L227" s="14"/>
      <c r="M227" s="15">
        <f t="shared" si="6"/>
        <v>67</v>
      </c>
      <c r="N227" s="14" t="s">
        <v>1289</v>
      </c>
      <c r="O227" s="16" t="e">
        <f>VLOOKUP(A227,[2]Sheet1!$B$4:$F$352,4,0)</f>
        <v>#N/A</v>
      </c>
      <c r="P227" s="16"/>
      <c r="Q227" s="16" t="e">
        <f>VLOOKUP(A227,[2]Sheet1!$B$4:$F$352,4,0)</f>
        <v>#N/A</v>
      </c>
      <c r="R227" s="17">
        <f>VLOOKUP(A227,[1]Sheet1!$A$2:$F$379,3,0)</f>
        <v>3.5</v>
      </c>
      <c r="S227" s="16">
        <f>VLOOKUP(A227,[1]Sheet1!$A$2:$F$379,4,0)</f>
        <v>7.5</v>
      </c>
      <c r="T227" s="16" t="str">
        <f>VLOOKUP(A227,[1]Sheet1!$A$2:$F$379,5,0)</f>
        <v>618±2</v>
      </c>
      <c r="U227" s="16">
        <f>VLOOKUP(A227,[1]Sheet1!$A$2:$F$379,6,0)</f>
        <v>0</v>
      </c>
      <c r="V227" s="16"/>
      <c r="W227" s="16"/>
      <c r="X227" s="16"/>
      <c r="Y227" s="18" t="e">
        <f>VLOOKUP(A227,[3]Combi!$A$1:$B$304,2,0)</f>
        <v>#N/A</v>
      </c>
      <c r="Z227" s="22" t="s">
        <v>1310</v>
      </c>
    </row>
    <row r="228" spans="1:26" s="18" customFormat="1" x14ac:dyDescent="0.25">
      <c r="A228" s="13" t="s">
        <v>952</v>
      </c>
      <c r="B228" s="14" t="str">
        <f>VLOOKUP(A228,[1]Sheet1!$A$2:$F$379,2,0)</f>
        <v>17341-0C160</v>
      </c>
      <c r="C228" s="14" t="s">
        <v>225</v>
      </c>
      <c r="D228" s="14" t="s">
        <v>1224</v>
      </c>
      <c r="E228" s="15">
        <v>16.18</v>
      </c>
      <c r="F228" s="14" t="s">
        <v>1225</v>
      </c>
      <c r="G228" s="15">
        <v>13.92</v>
      </c>
      <c r="H228" s="14" t="s">
        <v>1226</v>
      </c>
      <c r="I228" s="15">
        <v>36.01</v>
      </c>
      <c r="J228" s="15">
        <f t="shared" si="7"/>
        <v>66.11</v>
      </c>
      <c r="K228" s="14" t="s">
        <v>1264</v>
      </c>
      <c r="L228" s="15">
        <v>1.74</v>
      </c>
      <c r="M228" s="15">
        <f t="shared" si="6"/>
        <v>67.849999999999994</v>
      </c>
      <c r="N228" s="14" t="str">
        <f>VLOOKUP(A228,[2]Sheet1!$B$4:$F$352,3,0)</f>
        <v>CHS3L</v>
      </c>
      <c r="O228" s="16">
        <f>VLOOKUP(A228,[2]Sheet1!$B$4:$F$352,4,0)</f>
        <v>1</v>
      </c>
      <c r="P228" s="16"/>
      <c r="Q228" s="16">
        <f>VLOOKUP(A228,[2]Sheet1!$B$4:$F$352,4,0)</f>
        <v>1</v>
      </c>
      <c r="R228" s="17">
        <f>VLOOKUP(A228,[1]Sheet1!$A$2:$F$379,3,0)</f>
        <v>7.5</v>
      </c>
      <c r="S228" s="16">
        <f>VLOOKUP(A228,[1]Sheet1!$A$2:$F$379,4,0)</f>
        <v>16</v>
      </c>
      <c r="T228" s="16">
        <f>VLOOKUP(A228,[1]Sheet1!$A$2:$F$379,5,0)</f>
        <v>328</v>
      </c>
      <c r="U228" s="16" t="str">
        <f>VLOOKUP(A228,[1]Sheet1!$A$2:$F$379,6,0)</f>
        <v>320±2</v>
      </c>
      <c r="V228" s="16"/>
      <c r="W228" s="16"/>
      <c r="X228" s="16"/>
      <c r="Y228" s="18" t="str">
        <f>VLOOKUP(A228,[3]Combi!$A$1:$B$304,2,0)</f>
        <v>SOP/PROD/HOSE/SPS/3/2</v>
      </c>
    </row>
    <row r="229" spans="1:26" s="18" customFormat="1" x14ac:dyDescent="0.25">
      <c r="A229" s="13" t="s">
        <v>1152</v>
      </c>
      <c r="B229" s="14" t="str">
        <f>VLOOKUP(A229,[1]Sheet1!$A$2:$F$379,2,0)</f>
        <v>17343-0C070</v>
      </c>
      <c r="C229" s="14" t="s">
        <v>719</v>
      </c>
      <c r="D229" s="14" t="s">
        <v>1235</v>
      </c>
      <c r="E229" s="15">
        <v>74.849999999999994</v>
      </c>
      <c r="F229" s="14" t="s">
        <v>1230</v>
      </c>
      <c r="G229" s="15">
        <v>23.6</v>
      </c>
      <c r="H229" s="14"/>
      <c r="I229" s="14"/>
      <c r="J229" s="15">
        <f t="shared" si="7"/>
        <v>98.449999999999989</v>
      </c>
      <c r="K229" s="14"/>
      <c r="L229" s="14"/>
      <c r="M229" s="15">
        <f t="shared" si="6"/>
        <v>98.449999999999989</v>
      </c>
      <c r="N229" s="14" t="str">
        <f>VLOOKUP(A229,[2]Sheet1!$B$4:$F$352,3,0)</f>
        <v>DL2</v>
      </c>
      <c r="O229" s="16">
        <f>VLOOKUP(A229,[2]Sheet1!$B$4:$F$352,4,0)</f>
        <v>7</v>
      </c>
      <c r="P229" s="16"/>
      <c r="Q229" s="16">
        <f>VLOOKUP(A229,[2]Sheet1!$B$4:$F$352,4,0)</f>
        <v>7</v>
      </c>
      <c r="R229" s="17">
        <f>VLOOKUP(A229,[1]Sheet1!$A$2:$F$379,3,0)</f>
        <v>18</v>
      </c>
      <c r="S229" s="16">
        <f>VLOOKUP(A229,[1]Sheet1!$A$2:$F$379,4,0)</f>
        <v>25</v>
      </c>
      <c r="T229" s="16" t="str">
        <f>VLOOKUP(A229,[1]Sheet1!$A$2:$F$379,5,0)</f>
        <v>363±2</v>
      </c>
      <c r="U229" s="16">
        <f>VLOOKUP(A229,[1]Sheet1!$A$2:$F$379,6,0)</f>
        <v>0</v>
      </c>
      <c r="V229" s="16"/>
      <c r="W229" s="16"/>
      <c r="X229" s="16"/>
      <c r="Y229" s="18" t="e">
        <f>VLOOKUP(A229,[3]Combi!$A$1:$B$304,2,0)</f>
        <v>#N/A</v>
      </c>
      <c r="Z229" s="22" t="s">
        <v>1313</v>
      </c>
    </row>
    <row r="230" spans="1:26" s="18" customFormat="1" x14ac:dyDescent="0.25">
      <c r="A230" s="13" t="s">
        <v>1164</v>
      </c>
      <c r="B230" s="14" t="str">
        <f>VLOOKUP(A230,[1]Sheet1!$A$2:$F$379,2,0)</f>
        <v>77249-KK010</v>
      </c>
      <c r="C230" s="14" t="s">
        <v>747</v>
      </c>
      <c r="D230" s="14" t="s">
        <v>1229</v>
      </c>
      <c r="E230" s="15">
        <v>31.76</v>
      </c>
      <c r="F230" s="14" t="s">
        <v>1230</v>
      </c>
      <c r="G230" s="15">
        <v>3.12</v>
      </c>
      <c r="H230" s="14"/>
      <c r="I230" s="14"/>
      <c r="J230" s="15">
        <f t="shared" si="7"/>
        <v>34.880000000000003</v>
      </c>
      <c r="K230" s="14"/>
      <c r="L230" s="14"/>
      <c r="M230" s="15">
        <f t="shared" si="6"/>
        <v>34.880000000000003</v>
      </c>
      <c r="N230" s="14" t="str">
        <f>VLOOKUP(A230,[2]Sheet1!$B$4:$F$352,3,0)</f>
        <v>DL1</v>
      </c>
      <c r="O230" s="16">
        <f>VLOOKUP(A230,[2]Sheet1!$B$4:$F$352,4,0)</f>
        <v>7</v>
      </c>
      <c r="P230" s="16"/>
      <c r="Q230" s="16">
        <f>VLOOKUP(A230,[2]Sheet1!$B$4:$F$352,4,0)</f>
        <v>7</v>
      </c>
      <c r="R230" s="17">
        <f>VLOOKUP(A230,[1]Sheet1!$A$2:$F$379,3,0)</f>
        <v>5.4</v>
      </c>
      <c r="S230" s="16">
        <f>VLOOKUP(A230,[1]Sheet1!$A$2:$F$379,4,0)</f>
        <v>10.4</v>
      </c>
      <c r="T230" s="16" t="str">
        <f>VLOOKUP(A230,[1]Sheet1!$A$2:$F$379,5,0)</f>
        <v>490±2</v>
      </c>
      <c r="U230" s="16" t="str">
        <f>VLOOKUP(A230,[1]Sheet1!$A$2:$F$379,6,0)</f>
        <v>450-455</v>
      </c>
      <c r="V230" s="16"/>
      <c r="W230" s="16"/>
      <c r="X230" s="16"/>
      <c r="Y230" s="18" t="str">
        <f>VLOOKUP(A230,[3]Combi!$A$1:$B$304,2,0)</f>
        <v>SOP/PROD/HOSE/SPS/1/4</v>
      </c>
    </row>
    <row r="231" spans="1:26" s="18" customFormat="1" x14ac:dyDescent="0.25">
      <c r="A231" s="13" t="s">
        <v>1172</v>
      </c>
      <c r="B231" s="14" t="str">
        <f>VLOOKUP(A231,[1]Sheet1!$A$2:$F$379,2,0)</f>
        <v>44772-KK070</v>
      </c>
      <c r="C231" s="14" t="s">
        <v>765</v>
      </c>
      <c r="D231" s="14" t="s">
        <v>1224</v>
      </c>
      <c r="E231" s="15">
        <v>8.5500000000000007</v>
      </c>
      <c r="F231" s="14" t="s">
        <v>1225</v>
      </c>
      <c r="G231" s="15">
        <v>6.99</v>
      </c>
      <c r="H231" s="14" t="s">
        <v>1226</v>
      </c>
      <c r="I231" s="15">
        <v>19.07</v>
      </c>
      <c r="J231" s="15">
        <f t="shared" si="7"/>
        <v>34.61</v>
      </c>
      <c r="K231" s="14" t="s">
        <v>1264</v>
      </c>
      <c r="L231" s="15">
        <v>0.85</v>
      </c>
      <c r="M231" s="15">
        <f t="shared" si="6"/>
        <v>35.460000000000008</v>
      </c>
      <c r="N231" s="14" t="str">
        <f>VLOOKUP(A231,[2]Sheet1!$B$4:$F$352,3,0)</f>
        <v>CHS3L</v>
      </c>
      <c r="O231" s="16">
        <f>VLOOKUP(A231,[2]Sheet1!$B$4:$F$352,4,0)</f>
        <v>2</v>
      </c>
      <c r="P231" s="16"/>
      <c r="Q231" s="16">
        <f>VLOOKUP(A231,[2]Sheet1!$B$4:$F$352,4,0)</f>
        <v>2</v>
      </c>
      <c r="R231" s="17">
        <f>VLOOKUP(A231,[1]Sheet1!$A$2:$F$379,3,0)</f>
        <v>8.73</v>
      </c>
      <c r="S231" s="16">
        <f>VLOOKUP(A231,[1]Sheet1!$A$2:$F$379,4,0)</f>
        <v>17.46</v>
      </c>
      <c r="T231" s="16">
        <f>VLOOKUP(A231,[1]Sheet1!$A$2:$F$379,5,0)</f>
        <v>168</v>
      </c>
      <c r="U231" s="16" t="str">
        <f>VLOOKUP(A231,[1]Sheet1!$A$2:$F$379,6,0)</f>
        <v>161-167</v>
      </c>
      <c r="V231" s="16"/>
      <c r="W231" s="16"/>
      <c r="X231" s="16"/>
      <c r="Y231" s="18" t="str">
        <f>VLOOKUP(A231,[3]Combi!$A$1:$B$304,2,0)</f>
        <v>SOP/PROD/HOSE/SPS/3/6</v>
      </c>
    </row>
    <row r="232" spans="1:26" s="18" customFormat="1" x14ac:dyDescent="0.25">
      <c r="A232" s="13" t="s">
        <v>1157</v>
      </c>
      <c r="B232" s="14" t="str">
        <f>VLOOKUP(A232,[1]Sheet1!$A$2:$F$379,2,0)</f>
        <v>44772-KK010</v>
      </c>
      <c r="C232" s="14" t="s">
        <v>729</v>
      </c>
      <c r="D232" s="14" t="s">
        <v>1224</v>
      </c>
      <c r="E232" s="15">
        <v>8.81</v>
      </c>
      <c r="F232" s="14" t="s">
        <v>1225</v>
      </c>
      <c r="G232" s="15">
        <v>7.2</v>
      </c>
      <c r="H232" s="14" t="s">
        <v>1226</v>
      </c>
      <c r="I232" s="15">
        <v>19.649999999999999</v>
      </c>
      <c r="J232" s="15">
        <f t="shared" si="7"/>
        <v>35.659999999999997</v>
      </c>
      <c r="K232" s="14" t="s">
        <v>1264</v>
      </c>
      <c r="L232" s="15">
        <v>0.87</v>
      </c>
      <c r="M232" s="15">
        <f t="shared" si="6"/>
        <v>36.53</v>
      </c>
      <c r="N232" s="14" t="str">
        <f>VLOOKUP(A232,[2]Sheet1!$B$4:$F$352,3,0)</f>
        <v>CHS3L</v>
      </c>
      <c r="O232" s="16">
        <f>VLOOKUP(A232,[2]Sheet1!$B$4:$F$352,4,0)</f>
        <v>2</v>
      </c>
      <c r="P232" s="16"/>
      <c r="Q232" s="16">
        <f>VLOOKUP(A232,[2]Sheet1!$B$4:$F$352,4,0)</f>
        <v>2</v>
      </c>
      <c r="R232" s="17">
        <f>VLOOKUP(A232,[1]Sheet1!$A$2:$F$379,3,0)</f>
        <v>8.73</v>
      </c>
      <c r="S232" s="16">
        <f>VLOOKUP(A232,[1]Sheet1!$A$2:$F$379,4,0)</f>
        <v>17.46</v>
      </c>
      <c r="T232" s="16">
        <f>VLOOKUP(A232,[1]Sheet1!$A$2:$F$379,5,0)</f>
        <v>173</v>
      </c>
      <c r="U232" s="16" t="str">
        <f>VLOOKUP(A232,[1]Sheet1!$A$2:$F$379,6,0)</f>
        <v>166-172</v>
      </c>
      <c r="V232" s="16"/>
      <c r="W232" s="16"/>
      <c r="X232" s="16"/>
      <c r="Y232" s="18" t="str">
        <f>VLOOKUP(A232,[3]Combi!$A$1:$B$304,2,0)</f>
        <v>SOP/PROD/HOSE/SPS/3/6</v>
      </c>
    </row>
    <row r="233" spans="1:26" s="18" customFormat="1" x14ac:dyDescent="0.25">
      <c r="A233" s="13" t="s">
        <v>1150</v>
      </c>
      <c r="B233" s="14" t="str">
        <f>VLOOKUP(A233,[1]Sheet1!$A$2:$F$379,2,0)</f>
        <v>16261-0L091</v>
      </c>
      <c r="C233" s="14" t="s">
        <v>713</v>
      </c>
      <c r="D233" s="14" t="s">
        <v>1236</v>
      </c>
      <c r="E233" s="15">
        <v>34.42</v>
      </c>
      <c r="F233" s="14"/>
      <c r="G233" s="14"/>
      <c r="H233" s="14"/>
      <c r="I233" s="14"/>
      <c r="J233" s="15">
        <f t="shared" si="7"/>
        <v>34.42</v>
      </c>
      <c r="K233" s="14" t="s">
        <v>1268</v>
      </c>
      <c r="L233" s="15">
        <v>0.06</v>
      </c>
      <c r="M233" s="15">
        <f t="shared" si="6"/>
        <v>34.480000000000004</v>
      </c>
      <c r="N233" s="14" t="str">
        <f>VLOOKUP(A233,[2]Sheet1!$B$4:$F$352,3,0)</f>
        <v>CHS2L</v>
      </c>
      <c r="O233" s="16">
        <f>VLOOKUP(A233,[2]Sheet1!$B$4:$F$352,4,0)</f>
        <v>7</v>
      </c>
      <c r="P233" s="16"/>
      <c r="Q233" s="16">
        <f>VLOOKUP(A233,[2]Sheet1!$B$4:$F$352,4,0)</f>
        <v>7</v>
      </c>
      <c r="R233" s="17">
        <f>VLOOKUP(A233,[1]Sheet1!$A$2:$F$379,3,0)</f>
        <v>11</v>
      </c>
      <c r="S233" s="16">
        <f>VLOOKUP(A233,[1]Sheet1!$A$2:$F$379,4,0)</f>
        <v>18</v>
      </c>
      <c r="T233" s="16">
        <f>VLOOKUP(A233,[1]Sheet1!$A$2:$F$379,5,0)</f>
        <v>191</v>
      </c>
      <c r="U233" s="16" t="str">
        <f>VLOOKUP(A233,[1]Sheet1!$A$2:$F$379,6,0)</f>
        <v>187±1</v>
      </c>
      <c r="V233" s="16"/>
      <c r="W233" s="16"/>
      <c r="X233" s="16"/>
      <c r="Y233" s="18" t="str">
        <f>VLOOKUP(A233,[3]Combi!$A$1:$B$304,2,0)</f>
        <v>SOP/PROD/HOSE/SPS/2/11</v>
      </c>
    </row>
    <row r="234" spans="1:26" s="18" customFormat="1" x14ac:dyDescent="0.25">
      <c r="A234" s="13" t="s">
        <v>1165</v>
      </c>
      <c r="B234" s="14" t="str">
        <f>VLOOKUP(A234,[1]Sheet1!$A$2:$F$379,2,0)</f>
        <v>16571-0P300</v>
      </c>
      <c r="C234" s="14" t="s">
        <v>749</v>
      </c>
      <c r="D234" s="14" t="s">
        <v>1236</v>
      </c>
      <c r="E234" s="15">
        <v>244</v>
      </c>
      <c r="F234" s="14" t="s">
        <v>1236</v>
      </c>
      <c r="G234" s="15">
        <v>83</v>
      </c>
      <c r="H234" s="14"/>
      <c r="I234" s="14"/>
      <c r="J234" s="15">
        <f t="shared" si="7"/>
        <v>327</v>
      </c>
      <c r="K234" s="14" t="s">
        <v>1266</v>
      </c>
      <c r="L234" s="15">
        <v>5.391</v>
      </c>
      <c r="M234" s="15">
        <f t="shared" si="6"/>
        <v>332.39100000000002</v>
      </c>
      <c r="N234" s="14" t="str">
        <f>VLOOKUP(A234,[2]Sheet1!$B$4:$F$352,3,0)</f>
        <v>CHS2L</v>
      </c>
      <c r="O234" s="16">
        <f>VLOOKUP(A234,[2]Sheet1!$B$4:$F$352,4,0)</f>
        <v>5</v>
      </c>
      <c r="P234" s="16"/>
      <c r="Q234" s="16">
        <f>VLOOKUP(A234,[2]Sheet1!$B$4:$F$352,4,0)</f>
        <v>5</v>
      </c>
      <c r="R234" s="17">
        <f>VLOOKUP(A234,[1]Sheet1!$A$2:$F$379,3,0)</f>
        <v>33</v>
      </c>
      <c r="S234" s="16">
        <f>VLOOKUP(A234,[1]Sheet1!$A$2:$F$379,4,0)</f>
        <v>42</v>
      </c>
      <c r="T234" s="16">
        <f>VLOOKUP(A234,[1]Sheet1!$A$2:$F$379,5,0)</f>
        <v>305</v>
      </c>
      <c r="U234" s="16" t="str">
        <f>VLOOKUP(A234,[1]Sheet1!$A$2:$F$379,6,0)</f>
        <v>304±1</v>
      </c>
      <c r="V234" s="16"/>
      <c r="W234" s="16"/>
      <c r="X234" s="16"/>
      <c r="Y234" s="18" t="str">
        <f>VLOOKUP(A234,[3]Combi!$A$1:$B$304,2,0)</f>
        <v>SOP/PROD/HOSE/SPS/2/2</v>
      </c>
    </row>
    <row r="235" spans="1:26" s="18" customFormat="1" x14ac:dyDescent="0.25">
      <c r="A235" s="13" t="s">
        <v>1151</v>
      </c>
      <c r="B235" s="14" t="str">
        <f>VLOOKUP(A235,[1]Sheet1!$A$2:$F$379,2,0)</f>
        <v>16572-0P300</v>
      </c>
      <c r="C235" s="14" t="s">
        <v>715</v>
      </c>
      <c r="D235" s="14" t="s">
        <v>1236</v>
      </c>
      <c r="E235" s="15">
        <v>437.8</v>
      </c>
      <c r="F235" s="14"/>
      <c r="G235" s="14"/>
      <c r="H235" s="14"/>
      <c r="I235" s="14"/>
      <c r="J235" s="15">
        <f t="shared" si="7"/>
        <v>437.8</v>
      </c>
      <c r="K235" s="14" t="s">
        <v>1266</v>
      </c>
      <c r="L235" s="15">
        <v>16.75</v>
      </c>
      <c r="M235" s="15">
        <f t="shared" si="6"/>
        <v>454.55</v>
      </c>
      <c r="N235" s="14" t="str">
        <f>VLOOKUP(A235,[2]Sheet1!$B$4:$F$352,3,0)</f>
        <v>CHS2L</v>
      </c>
      <c r="O235" s="16">
        <f>VLOOKUP(A235,[2]Sheet1!$B$4:$F$352,4,0)</f>
        <v>6</v>
      </c>
      <c r="P235" s="16"/>
      <c r="Q235" s="16">
        <f>VLOOKUP(A235,[2]Sheet1!$B$4:$F$352,4,0)</f>
        <v>6</v>
      </c>
      <c r="R235" s="17">
        <f>VLOOKUP(A235,[1]Sheet1!$A$2:$F$379,3,0)</f>
        <v>33</v>
      </c>
      <c r="S235" s="16">
        <f>VLOOKUP(A235,[1]Sheet1!$A$2:$F$379,4,0)</f>
        <v>42</v>
      </c>
      <c r="T235" s="16">
        <f>VLOOKUP(A235,[1]Sheet1!$A$2:$F$379,5,0)</f>
        <v>750</v>
      </c>
      <c r="U235" s="16" t="str">
        <f>VLOOKUP(A235,[1]Sheet1!$A$2:$F$379,6,0)</f>
        <v>749±1</v>
      </c>
      <c r="V235" s="16"/>
      <c r="W235" s="16"/>
      <c r="X235" s="16"/>
      <c r="Y235" s="18" t="str">
        <f>VLOOKUP(A235,[3]Combi!$A$1:$B$304,2,0)</f>
        <v>SOP/PROD/HOSE/SPS/2/2</v>
      </c>
    </row>
    <row r="236" spans="1:26" s="18" customFormat="1" x14ac:dyDescent="0.25">
      <c r="A236" s="13" t="s">
        <v>941</v>
      </c>
      <c r="B236" s="14" t="str">
        <f>VLOOKUP(A236,[1]Sheet1!$A$2:$F$379,2,0)</f>
        <v>17341-0C160</v>
      </c>
      <c r="C236" s="14" t="s">
        <v>189</v>
      </c>
      <c r="D236" s="14" t="s">
        <v>1224</v>
      </c>
      <c r="E236" s="15">
        <v>24.76</v>
      </c>
      <c r="F236" s="14" t="s">
        <v>1225</v>
      </c>
      <c r="G236" s="15">
        <v>21.3</v>
      </c>
      <c r="H236" s="14" t="s">
        <v>1226</v>
      </c>
      <c r="I236" s="15">
        <v>55.11</v>
      </c>
      <c r="J236" s="15">
        <f t="shared" si="7"/>
        <v>101.17</v>
      </c>
      <c r="K236" s="14" t="s">
        <v>1264</v>
      </c>
      <c r="L236" s="15">
        <v>2.82</v>
      </c>
      <c r="M236" s="15">
        <f t="shared" si="6"/>
        <v>103.99000000000001</v>
      </c>
      <c r="N236" s="14" t="str">
        <f>VLOOKUP(A236,[2]Sheet1!$B$4:$F$352,3,0)</f>
        <v>CHS3L</v>
      </c>
      <c r="O236" s="16">
        <f>VLOOKUP(A236,[2]Sheet1!$B$4:$F$352,4,0)</f>
        <v>1</v>
      </c>
      <c r="P236" s="16"/>
      <c r="Q236" s="16">
        <f>VLOOKUP(A236,[2]Sheet1!$B$4:$F$352,4,0)</f>
        <v>1</v>
      </c>
      <c r="R236" s="17">
        <f>VLOOKUP(A236,[1]Sheet1!$A$2:$F$379,3,0)</f>
        <v>7.5</v>
      </c>
      <c r="S236" s="16">
        <f>VLOOKUP(A236,[1]Sheet1!$A$2:$F$379,4,0)</f>
        <v>16</v>
      </c>
      <c r="T236" s="16">
        <f>VLOOKUP(A236,[1]Sheet1!$A$2:$F$379,5,0)</f>
        <v>532</v>
      </c>
      <c r="U236" s="16" t="str">
        <f>VLOOKUP(A236,[1]Sheet1!$A$2:$F$379,6,0)</f>
        <v>523±3</v>
      </c>
      <c r="V236" s="16"/>
      <c r="W236" s="16"/>
      <c r="X236" s="16"/>
      <c r="Y236" s="18" t="str">
        <f>VLOOKUP(A236,[3]Combi!$A$1:$B$304,2,0)</f>
        <v>SOP/PROD/HOSE/SPS/3/2</v>
      </c>
    </row>
    <row r="237" spans="1:26" s="18" customFormat="1" x14ac:dyDescent="0.25">
      <c r="A237" s="13" t="s">
        <v>931</v>
      </c>
      <c r="B237" s="14" t="str">
        <f>VLOOKUP(A237,[1]Sheet1!$A$2:$F$379,2,0)</f>
        <v>23273-0C130(1)</v>
      </c>
      <c r="C237" s="14" t="s">
        <v>146</v>
      </c>
      <c r="D237" s="14" t="s">
        <v>1231</v>
      </c>
      <c r="E237" s="15">
        <v>13.85</v>
      </c>
      <c r="F237" s="14" t="s">
        <v>1232</v>
      </c>
      <c r="G237" s="15">
        <v>30.14</v>
      </c>
      <c r="H237" s="14" t="s">
        <v>1233</v>
      </c>
      <c r="I237" s="15">
        <v>35.04</v>
      </c>
      <c r="J237" s="15">
        <f t="shared" si="7"/>
        <v>79.03</v>
      </c>
      <c r="K237" s="14" t="s">
        <v>1263</v>
      </c>
      <c r="L237" s="15">
        <v>3.85</v>
      </c>
      <c r="M237" s="15">
        <f t="shared" si="6"/>
        <v>82.88</v>
      </c>
      <c r="N237" s="14" t="e">
        <f>VLOOKUP(A237,[2]Sheet1!$B$4:$F$352,3,0)</f>
        <v>#N/A</v>
      </c>
      <c r="O237" s="16" t="e">
        <f>VLOOKUP(A237,[2]Sheet1!$B$4:$F$352,4,0)</f>
        <v>#N/A</v>
      </c>
      <c r="P237" s="16"/>
      <c r="Q237" s="16" t="e">
        <f>VLOOKUP(A237,[2]Sheet1!$B$4:$F$352,4,0)</f>
        <v>#N/A</v>
      </c>
      <c r="R237" s="17">
        <f>VLOOKUP(A237,[1]Sheet1!$A$2:$F$379,3,0)</f>
        <v>7.6</v>
      </c>
      <c r="S237" s="16">
        <f>VLOOKUP(A237,[1]Sheet1!$A$2:$F$379,4,0)</f>
        <v>14</v>
      </c>
      <c r="T237" s="16">
        <f>VLOOKUP(A237,[1]Sheet1!$A$2:$F$379,5,0)</f>
        <v>555</v>
      </c>
      <c r="U237" s="16" t="str">
        <f>VLOOKUP(A237,[1]Sheet1!$A$2:$F$379,6,0)</f>
        <v>536±2</v>
      </c>
      <c r="V237" s="16"/>
      <c r="W237" s="16"/>
      <c r="X237" s="16"/>
      <c r="Y237" s="18" t="str">
        <f>VLOOKUP(A237,[3]Combi!$A$1:$B$304,2,0)</f>
        <v>SOP/PROD/HOSE/SPS/3/3</v>
      </c>
    </row>
    <row r="238" spans="1:26" s="18" customFormat="1" x14ac:dyDescent="0.25">
      <c r="A238" s="13" t="s">
        <v>931</v>
      </c>
      <c r="B238" s="14" t="str">
        <f>VLOOKUP(A238,[1]Sheet1!$A$2:$F$379,2,0)</f>
        <v>23273-0C130(1)</v>
      </c>
      <c r="C238" s="14" t="s">
        <v>146</v>
      </c>
      <c r="D238" s="14" t="s">
        <v>1221</v>
      </c>
      <c r="E238" s="15">
        <v>10.56</v>
      </c>
      <c r="F238" s="14" t="s">
        <v>1222</v>
      </c>
      <c r="G238" s="15">
        <v>29.59</v>
      </c>
      <c r="H238" s="14" t="s">
        <v>1223</v>
      </c>
      <c r="I238" s="15">
        <v>29.65</v>
      </c>
      <c r="J238" s="15">
        <f t="shared" si="7"/>
        <v>69.8</v>
      </c>
      <c r="K238" s="14" t="s">
        <v>1263</v>
      </c>
      <c r="L238" s="15">
        <v>3.8</v>
      </c>
      <c r="M238" s="15">
        <f t="shared" si="6"/>
        <v>73.599999999999994</v>
      </c>
      <c r="N238" s="14" t="e">
        <f>VLOOKUP(A238,[2]Sheet1!$B$4:$F$352,3,0)</f>
        <v>#N/A</v>
      </c>
      <c r="O238" s="16" t="e">
        <f>VLOOKUP(A238,[2]Sheet1!$B$4:$F$352,4,0)</f>
        <v>#N/A</v>
      </c>
      <c r="P238" s="16"/>
      <c r="Q238" s="16" t="e">
        <f>VLOOKUP(A238,[2]Sheet1!$B$4:$F$352,4,0)</f>
        <v>#N/A</v>
      </c>
      <c r="R238" s="17">
        <f>VLOOKUP(A238,[1]Sheet1!$A$2:$F$379,3,0)</f>
        <v>7.6</v>
      </c>
      <c r="S238" s="16">
        <f>VLOOKUP(A238,[1]Sheet1!$A$2:$F$379,4,0)</f>
        <v>14</v>
      </c>
      <c r="T238" s="16">
        <f>VLOOKUP(A238,[1]Sheet1!$A$2:$F$379,5,0)</f>
        <v>555</v>
      </c>
      <c r="U238" s="16" t="str">
        <f>VLOOKUP(A238,[1]Sheet1!$A$2:$F$379,6,0)</f>
        <v>536±2</v>
      </c>
      <c r="V238" s="16"/>
      <c r="W238" s="16"/>
      <c r="X238" s="16"/>
      <c r="Y238" s="18" t="str">
        <f>VLOOKUP(A238,[3]Combi!$A$1:$B$304,2,0)</f>
        <v>SOP/PROD/HOSE/SPS/3/3</v>
      </c>
    </row>
    <row r="239" spans="1:26" s="18" customFormat="1" x14ac:dyDescent="0.25">
      <c r="A239" s="13" t="s">
        <v>917</v>
      </c>
      <c r="B239" s="14" t="str">
        <f>VLOOKUP(A239,[1]Sheet1!$A$2:$F$379,2,0)</f>
        <v>23273-0C130(2)</v>
      </c>
      <c r="C239" s="14" t="s">
        <v>106</v>
      </c>
      <c r="D239" s="14" t="s">
        <v>1221</v>
      </c>
      <c r="E239" s="15">
        <v>3.99</v>
      </c>
      <c r="F239" s="14" t="s">
        <v>1222</v>
      </c>
      <c r="G239" s="15">
        <v>11.19</v>
      </c>
      <c r="H239" s="14" t="s">
        <v>1223</v>
      </c>
      <c r="I239" s="15">
        <v>11.21</v>
      </c>
      <c r="J239" s="15">
        <f t="shared" si="7"/>
        <v>26.39</v>
      </c>
      <c r="K239" s="14" t="s">
        <v>1263</v>
      </c>
      <c r="L239" s="15">
        <v>1.44</v>
      </c>
      <c r="M239" s="15">
        <f t="shared" si="6"/>
        <v>27.83</v>
      </c>
      <c r="N239" s="14" t="e">
        <f>VLOOKUP(A239,[2]Sheet1!$B$4:$F$352,3,0)</f>
        <v>#N/A</v>
      </c>
      <c r="O239" s="16" t="e">
        <f>VLOOKUP(A239,[2]Sheet1!$B$4:$F$352,4,0)</f>
        <v>#N/A</v>
      </c>
      <c r="P239" s="16"/>
      <c r="Q239" s="16" t="e">
        <f>VLOOKUP(A239,[2]Sheet1!$B$4:$F$352,4,0)</f>
        <v>#N/A</v>
      </c>
      <c r="R239" s="17">
        <f>VLOOKUP(A239,[1]Sheet1!$A$2:$F$379,3,0)</f>
        <v>7.6</v>
      </c>
      <c r="S239" s="16">
        <f>VLOOKUP(A239,[1]Sheet1!$A$2:$F$379,4,0)</f>
        <v>14</v>
      </c>
      <c r="T239" s="16">
        <f>VLOOKUP(A239,[1]Sheet1!$A$2:$F$379,5,0)</f>
        <v>213</v>
      </c>
      <c r="U239" s="16" t="str">
        <f>VLOOKUP(A239,[1]Sheet1!$A$2:$F$379,6,0)</f>
        <v>203±1</v>
      </c>
      <c r="V239" s="16"/>
      <c r="W239" s="16"/>
      <c r="X239" s="16"/>
      <c r="Y239" s="18" t="str">
        <f>VLOOKUP(A239,[3]Combi!$A$1:$B$304,2,0)</f>
        <v>SOP/PROD/HOSE/SPS/3/3</v>
      </c>
    </row>
    <row r="240" spans="1:26" s="18" customFormat="1" x14ac:dyDescent="0.25">
      <c r="A240" s="13" t="s">
        <v>1167</v>
      </c>
      <c r="B240" s="14" t="str">
        <f>VLOOKUP(A240,[1]Sheet1!$A$2:$F$379,2,0)</f>
        <v>23271-0C120</v>
      </c>
      <c r="C240" s="14" t="s">
        <v>755</v>
      </c>
      <c r="D240" s="14" t="s">
        <v>1221</v>
      </c>
      <c r="E240" s="15">
        <v>32.700000000000003</v>
      </c>
      <c r="F240" s="14" t="s">
        <v>1222</v>
      </c>
      <c r="G240" s="15">
        <v>8.1999999999999993</v>
      </c>
      <c r="H240" s="14" t="s">
        <v>1223</v>
      </c>
      <c r="I240" s="15">
        <v>43.5</v>
      </c>
      <c r="J240" s="15">
        <f t="shared" si="7"/>
        <v>84.4</v>
      </c>
      <c r="K240" s="14" t="s">
        <v>1263</v>
      </c>
      <c r="L240" s="15">
        <v>6.5</v>
      </c>
      <c r="M240" s="15">
        <f t="shared" si="6"/>
        <v>90.9</v>
      </c>
      <c r="N240" s="14" t="str">
        <f>VLOOKUP(A240,[2]Sheet1!$B$4:$F$352,3,0)</f>
        <v>CHS3L</v>
      </c>
      <c r="O240" s="16">
        <f>VLOOKUP(A240,[2]Sheet1!$B$4:$F$352,4,0)</f>
        <v>1</v>
      </c>
      <c r="P240" s="16"/>
      <c r="Q240" s="16">
        <f>VLOOKUP(A240,[2]Sheet1!$B$4:$F$352,4,0)</f>
        <v>1</v>
      </c>
      <c r="R240" s="17">
        <f>VLOOKUP(A240,[1]Sheet1!$A$2:$F$379,3,0)</f>
        <v>7.6</v>
      </c>
      <c r="S240" s="16">
        <f>VLOOKUP(A240,[1]Sheet1!$A$2:$F$379,4,0)</f>
        <v>14</v>
      </c>
      <c r="T240" s="16">
        <f>VLOOKUP(A240,[1]Sheet1!$A$2:$F$379,5,0)</f>
        <v>663</v>
      </c>
      <c r="U240" s="16" t="str">
        <f>VLOOKUP(A240,[1]Sheet1!$A$2:$F$379,6,0)</f>
        <v>651±1</v>
      </c>
      <c r="V240" s="16"/>
      <c r="W240" s="16"/>
      <c r="X240" s="16"/>
      <c r="Y240" s="18" t="str">
        <f>VLOOKUP(A240,[3]Combi!$A$1:$B$304,2,0)</f>
        <v>SOP/PROD/HOSE/SPS/3/4</v>
      </c>
    </row>
    <row r="241" spans="1:25" s="18" customFormat="1" x14ac:dyDescent="0.25">
      <c r="A241" s="13" t="s">
        <v>1142</v>
      </c>
      <c r="B241" s="14" t="str">
        <f>VLOOKUP(A241,[1]Sheet1!$A$2:$F$379,2,0)</f>
        <v>23829-0L010</v>
      </c>
      <c r="C241" s="14" t="s">
        <v>697</v>
      </c>
      <c r="D241" s="14" t="s">
        <v>1229</v>
      </c>
      <c r="E241" s="15">
        <v>45.88</v>
      </c>
      <c r="F241" s="14" t="s">
        <v>1230</v>
      </c>
      <c r="G241" s="15">
        <v>12.12</v>
      </c>
      <c r="H241" s="14"/>
      <c r="I241" s="14"/>
      <c r="J241" s="15">
        <f t="shared" si="7"/>
        <v>58</v>
      </c>
      <c r="K241" s="14"/>
      <c r="L241" s="14"/>
      <c r="M241" s="15">
        <f t="shared" si="6"/>
        <v>58</v>
      </c>
      <c r="N241" s="14" t="e">
        <f>VLOOKUP(A241,[2]Sheet1!$B$4:$F$352,3,0)</f>
        <v>#N/A</v>
      </c>
      <c r="O241" s="16" t="e">
        <f>VLOOKUP(A241,[2]Sheet1!$B$4:$F$352,4,0)</f>
        <v>#N/A</v>
      </c>
      <c r="P241" s="16"/>
      <c r="Q241" s="16" t="e">
        <f>VLOOKUP(A241,[2]Sheet1!$B$4:$F$352,4,0)</f>
        <v>#N/A</v>
      </c>
      <c r="R241" s="17">
        <f>VLOOKUP(A241,[1]Sheet1!$A$2:$F$379,3,0)</f>
        <v>7</v>
      </c>
      <c r="S241" s="16">
        <f>VLOOKUP(A241,[1]Sheet1!$A$2:$F$379,4,0)</f>
        <v>12</v>
      </c>
      <c r="T241" s="16" t="str">
        <f>VLOOKUP(A241,[1]Sheet1!$A$2:$F$379,5,0)</f>
        <v>625±2</v>
      </c>
      <c r="U241" s="16" t="str">
        <f>VLOOKUP(A241,[1]Sheet1!$A$2:$F$379,6,0)</f>
        <v>516-520</v>
      </c>
      <c r="V241" s="16"/>
      <c r="W241" s="16"/>
      <c r="X241" s="16"/>
      <c r="Y241" s="18" t="str">
        <f>VLOOKUP(A241,[3]Combi!$A$1:$B$304,2,0)</f>
        <v>SOP/PROD/HOSE/SPS/1/6</v>
      </c>
    </row>
    <row r="242" spans="1:25" s="18" customFormat="1" x14ac:dyDescent="0.25">
      <c r="A242" s="13" t="s">
        <v>1131</v>
      </c>
      <c r="B242" s="14" t="str">
        <f>VLOOKUP(A242,[1]Sheet1!$A$2:$F$379,2,0)</f>
        <v>44774-KK020</v>
      </c>
      <c r="C242" s="14" t="s">
        <v>673</v>
      </c>
      <c r="D242" s="14" t="s">
        <v>1224</v>
      </c>
      <c r="E242" s="15">
        <v>16.89</v>
      </c>
      <c r="F242" s="14" t="s">
        <v>1225</v>
      </c>
      <c r="G242" s="15">
        <v>13.81</v>
      </c>
      <c r="H242" s="14" t="s">
        <v>1226</v>
      </c>
      <c r="I242" s="15">
        <v>37.69</v>
      </c>
      <c r="J242" s="15">
        <f t="shared" si="7"/>
        <v>68.39</v>
      </c>
      <c r="K242" s="14" t="s">
        <v>1264</v>
      </c>
      <c r="L242" s="15">
        <v>1.67</v>
      </c>
      <c r="M242" s="15">
        <f t="shared" si="6"/>
        <v>70.06</v>
      </c>
      <c r="N242" s="14" t="str">
        <f>VLOOKUP(A242,[2]Sheet1!$B$4:$F$352,3,0)</f>
        <v>CHS3L</v>
      </c>
      <c r="O242" s="16">
        <f>VLOOKUP(A242,[2]Sheet1!$B$4:$F$352,4,0)</f>
        <v>2</v>
      </c>
      <c r="P242" s="16"/>
      <c r="Q242" s="16">
        <f>VLOOKUP(A242,[2]Sheet1!$B$4:$F$352,4,0)</f>
        <v>2</v>
      </c>
      <c r="R242" s="17">
        <f>VLOOKUP(A242,[1]Sheet1!$A$2:$F$379,3,0)</f>
        <v>8.73</v>
      </c>
      <c r="S242" s="16">
        <f>VLOOKUP(A242,[1]Sheet1!$A$2:$F$379,4,0)</f>
        <v>17.46</v>
      </c>
      <c r="T242" s="16">
        <f>VLOOKUP(A242,[1]Sheet1!$A$2:$F$379,5,0)</f>
        <v>332</v>
      </c>
      <c r="U242" s="16" t="str">
        <f>VLOOKUP(A242,[1]Sheet1!$A$2:$F$379,6,0)</f>
        <v>325-328</v>
      </c>
      <c r="V242" s="16"/>
      <c r="W242" s="16"/>
      <c r="X242" s="16"/>
      <c r="Y242" s="18" t="str">
        <f>VLOOKUP(A242,[3]Combi!$A$1:$B$304,2,0)</f>
        <v>SOP/PROD/HOSE/SPS/3/6</v>
      </c>
    </row>
    <row r="243" spans="1:25" s="18" customFormat="1" x14ac:dyDescent="0.25">
      <c r="A243" s="13" t="s">
        <v>1161</v>
      </c>
      <c r="B243" s="14" t="str">
        <f>VLOOKUP(A243,[1]Sheet1!$A$2:$F$379,2,0)</f>
        <v>16571-0C140</v>
      </c>
      <c r="C243" s="14" t="s">
        <v>739</v>
      </c>
      <c r="D243" s="14" t="s">
        <v>1236</v>
      </c>
      <c r="E243" s="15">
        <v>278.5</v>
      </c>
      <c r="F243" s="14"/>
      <c r="G243" s="14"/>
      <c r="H243" s="14"/>
      <c r="I243" s="14"/>
      <c r="J243" s="15">
        <f t="shared" si="7"/>
        <v>278.5</v>
      </c>
      <c r="K243" s="14" t="s">
        <v>1266</v>
      </c>
      <c r="L243" s="15">
        <v>11.4</v>
      </c>
      <c r="M243" s="15">
        <f t="shared" si="6"/>
        <v>289.89999999999998</v>
      </c>
      <c r="N243" s="14" t="str">
        <f>VLOOKUP(A243,[2]Sheet1!$B$4:$F$352,3,0)</f>
        <v>CHS2L</v>
      </c>
      <c r="O243" s="16">
        <f>VLOOKUP(A243,[2]Sheet1!$B$4:$F$352,4,0)</f>
        <v>7</v>
      </c>
      <c r="P243" s="16"/>
      <c r="Q243" s="16">
        <f>VLOOKUP(A243,[2]Sheet1!$B$4:$F$352,4,0)</f>
        <v>7</v>
      </c>
      <c r="R243" s="17">
        <f>VLOOKUP(A243,[1]Sheet1!$A$2:$F$379,3,0)</f>
        <v>33</v>
      </c>
      <c r="S243" s="16">
        <f>VLOOKUP(A243,[1]Sheet1!$A$2:$F$379,4,0)</f>
        <v>42</v>
      </c>
      <c r="T243" s="16">
        <f>VLOOKUP(A243,[1]Sheet1!$A$2:$F$379,5,0)</f>
        <v>481</v>
      </c>
      <c r="U243" s="16" t="str">
        <f>VLOOKUP(A243,[1]Sheet1!$A$2:$F$379,6,0)</f>
        <v>480±1</v>
      </c>
      <c r="V243" s="16"/>
      <c r="W243" s="16"/>
      <c r="X243" s="16"/>
      <c r="Y243" s="18" t="str">
        <f>VLOOKUP(A243,[3]Combi!$A$1:$B$304,2,0)</f>
        <v>SOP/PROD/HOSE/SPS/2/2</v>
      </c>
    </row>
    <row r="244" spans="1:25" s="18" customFormat="1" x14ac:dyDescent="0.25">
      <c r="A244" s="13" t="s">
        <v>1183</v>
      </c>
      <c r="B244" s="14" t="str">
        <f>VLOOKUP(A244,[1]Sheet1!$A$2:$F$379,2,0)</f>
        <v>16571-0L100</v>
      </c>
      <c r="C244" s="14" t="s">
        <v>788</v>
      </c>
      <c r="D244" s="14" t="s">
        <v>1236</v>
      </c>
      <c r="E244" s="15">
        <v>205.3</v>
      </c>
      <c r="F244" s="14"/>
      <c r="G244" s="14"/>
      <c r="H244" s="14"/>
      <c r="I244" s="14"/>
      <c r="J244" s="15">
        <f t="shared" si="7"/>
        <v>205.3</v>
      </c>
      <c r="K244" s="14" t="s">
        <v>1266</v>
      </c>
      <c r="L244" s="15">
        <v>7.85</v>
      </c>
      <c r="M244" s="15">
        <f t="shared" si="6"/>
        <v>213.15</v>
      </c>
      <c r="N244" s="14" t="str">
        <f>VLOOKUP(A244,[2]Sheet1!$B$4:$F$352,3,0)</f>
        <v>CHS2L</v>
      </c>
      <c r="O244" s="16">
        <f>VLOOKUP(A244,[2]Sheet1!$B$4:$F$352,4,0)</f>
        <v>0</v>
      </c>
      <c r="P244" s="16"/>
      <c r="Q244" s="16">
        <f>VLOOKUP(A244,[2]Sheet1!$B$4:$F$352,4,0)</f>
        <v>0</v>
      </c>
      <c r="R244" s="17">
        <f>VLOOKUP(A244,[1]Sheet1!$A$2:$F$379,3,0)</f>
        <v>37</v>
      </c>
      <c r="S244" s="16">
        <f>VLOOKUP(A244,[1]Sheet1!$A$2:$F$379,4,0)</f>
        <v>47</v>
      </c>
      <c r="T244" s="16">
        <f>VLOOKUP(A244,[1]Sheet1!$A$2:$F$379,5,0)</f>
        <v>275</v>
      </c>
      <c r="U244" s="16" t="str">
        <f>VLOOKUP(A244,[1]Sheet1!$A$2:$F$379,6,0)</f>
        <v>274±1</v>
      </c>
      <c r="V244" s="16"/>
      <c r="W244" s="16"/>
      <c r="X244" s="16"/>
      <c r="Y244" s="18" t="str">
        <f>VLOOKUP(A244,[3]Combi!$A$1:$B$304,2,0)</f>
        <v>SOP/PROD/HOSE/SPS/2/1</v>
      </c>
    </row>
    <row r="245" spans="1:25" s="18" customFormat="1" x14ac:dyDescent="0.25">
      <c r="A245" s="13" t="s">
        <v>1184</v>
      </c>
      <c r="B245" s="14" t="str">
        <f>VLOOKUP(A245,[1]Sheet1!$A$2:$F$379,2,0)</f>
        <v>16571-0L110</v>
      </c>
      <c r="C245" s="14" t="s">
        <v>790</v>
      </c>
      <c r="D245" s="14" t="s">
        <v>1236</v>
      </c>
      <c r="E245" s="15">
        <v>235.7</v>
      </c>
      <c r="F245" s="14"/>
      <c r="G245" s="14"/>
      <c r="H245" s="14"/>
      <c r="I245" s="14"/>
      <c r="J245" s="15">
        <f t="shared" si="7"/>
        <v>235.7</v>
      </c>
      <c r="K245" s="14" t="s">
        <v>1266</v>
      </c>
      <c r="L245" s="15">
        <v>8.6</v>
      </c>
      <c r="M245" s="15">
        <f t="shared" si="6"/>
        <v>244.29999999999998</v>
      </c>
      <c r="N245" s="14" t="str">
        <f>VLOOKUP(A245,[2]Sheet1!$B$4:$F$352,3,0)</f>
        <v>CHS2L</v>
      </c>
      <c r="O245" s="16">
        <f>VLOOKUP(A245,[2]Sheet1!$B$4:$F$352,4,0)</f>
        <v>5</v>
      </c>
      <c r="P245" s="16"/>
      <c r="Q245" s="16">
        <f>VLOOKUP(A245,[2]Sheet1!$B$4:$F$352,4,0)</f>
        <v>5</v>
      </c>
      <c r="R245" s="17">
        <f>VLOOKUP(A245,[1]Sheet1!$A$2:$F$379,3,0)</f>
        <v>37</v>
      </c>
      <c r="S245" s="16">
        <f>VLOOKUP(A245,[1]Sheet1!$A$2:$F$379,4,0)</f>
        <v>47</v>
      </c>
      <c r="T245" s="16">
        <f>VLOOKUP(A245,[1]Sheet1!$A$2:$F$379,5,0)</f>
        <v>309</v>
      </c>
      <c r="U245" s="16" t="str">
        <f>VLOOKUP(A245,[1]Sheet1!$A$2:$F$379,6,0)</f>
        <v>308±1</v>
      </c>
      <c r="V245" s="16"/>
      <c r="W245" s="16"/>
      <c r="X245" s="16"/>
      <c r="Y245" s="18" t="str">
        <f>VLOOKUP(A245,[3]Combi!$A$1:$B$304,2,0)</f>
        <v>SOP/PROD/HOSE/SPS/2/1</v>
      </c>
    </row>
    <row r="246" spans="1:25" s="18" customFormat="1" x14ac:dyDescent="0.25">
      <c r="A246" s="13" t="s">
        <v>1162</v>
      </c>
      <c r="B246" s="14" t="str">
        <f>VLOOKUP(A246,[1]Sheet1!$A$2:$F$379,2,0)</f>
        <v>16572-0C140</v>
      </c>
      <c r="C246" s="14" t="s">
        <v>741</v>
      </c>
      <c r="D246" s="14" t="s">
        <v>1236</v>
      </c>
      <c r="E246" s="15">
        <v>409.6</v>
      </c>
      <c r="F246" s="14"/>
      <c r="G246" s="14"/>
      <c r="H246" s="14"/>
      <c r="I246" s="14"/>
      <c r="J246" s="15">
        <f t="shared" si="7"/>
        <v>409.6</v>
      </c>
      <c r="K246" s="14" t="s">
        <v>1266</v>
      </c>
      <c r="L246" s="15">
        <v>15.9</v>
      </c>
      <c r="M246" s="15">
        <f t="shared" si="6"/>
        <v>425.5</v>
      </c>
      <c r="N246" s="14" t="str">
        <f>VLOOKUP(A246,[2]Sheet1!$B$4:$F$352,3,0)</f>
        <v>CHS2L</v>
      </c>
      <c r="O246" s="16">
        <f>VLOOKUP(A246,[2]Sheet1!$B$4:$F$352,4,0)</f>
        <v>6</v>
      </c>
      <c r="P246" s="16"/>
      <c r="Q246" s="16">
        <f>VLOOKUP(A246,[2]Sheet1!$B$4:$F$352,4,0)</f>
        <v>6</v>
      </c>
      <c r="R246" s="17">
        <f>VLOOKUP(A246,[1]Sheet1!$A$2:$F$379,3,0)</f>
        <v>33</v>
      </c>
      <c r="S246" s="16">
        <f>VLOOKUP(A246,[1]Sheet1!$A$2:$F$379,4,0)</f>
        <v>42</v>
      </c>
      <c r="T246" s="16">
        <f>VLOOKUP(A246,[1]Sheet1!$A$2:$F$379,5,0)</f>
        <v>716</v>
      </c>
      <c r="U246" s="16" t="str">
        <f>VLOOKUP(A246,[1]Sheet1!$A$2:$F$379,6,0)</f>
        <v>715±1</v>
      </c>
      <c r="V246" s="16"/>
      <c r="W246" s="16"/>
      <c r="X246" s="16"/>
      <c r="Y246" s="18" t="str">
        <f>VLOOKUP(A246,[3]Combi!$A$1:$B$304,2,0)</f>
        <v>SOP/PROD/HOSE/SPS/2/2</v>
      </c>
    </row>
    <row r="247" spans="1:25" s="18" customFormat="1" x14ac:dyDescent="0.25">
      <c r="A247" s="13" t="s">
        <v>1185</v>
      </c>
      <c r="B247" s="14" t="str">
        <f>VLOOKUP(A247,[1]Sheet1!$A$2:$F$379,2,0)</f>
        <v>16572-0L100</v>
      </c>
      <c r="C247" s="14" t="s">
        <v>792</v>
      </c>
      <c r="D247" s="14" t="s">
        <v>1236</v>
      </c>
      <c r="E247" s="15">
        <v>273</v>
      </c>
      <c r="F247" s="14"/>
      <c r="G247" s="14"/>
      <c r="H247" s="14"/>
      <c r="I247" s="14"/>
      <c r="J247" s="15">
        <f t="shared" si="7"/>
        <v>273</v>
      </c>
      <c r="K247" s="14" t="s">
        <v>1266</v>
      </c>
      <c r="L247" s="15">
        <v>9.75</v>
      </c>
      <c r="M247" s="15">
        <f t="shared" si="6"/>
        <v>282.75</v>
      </c>
      <c r="N247" s="14" t="str">
        <f>VLOOKUP(A247,[2]Sheet1!$B$4:$F$352,3,0)</f>
        <v>CHS2L</v>
      </c>
      <c r="O247" s="16">
        <f>VLOOKUP(A247,[2]Sheet1!$B$4:$F$352,4,0)</f>
        <v>0</v>
      </c>
      <c r="P247" s="16"/>
      <c r="Q247" s="16">
        <f>VLOOKUP(A247,[2]Sheet1!$B$4:$F$352,4,0)</f>
        <v>0</v>
      </c>
      <c r="R247" s="17">
        <f>VLOOKUP(A247,[1]Sheet1!$A$2:$F$379,3,0)</f>
        <v>37</v>
      </c>
      <c r="S247" s="16">
        <f>VLOOKUP(A247,[1]Sheet1!$A$2:$F$379,4,0)</f>
        <v>47</v>
      </c>
      <c r="T247" s="16">
        <f>VLOOKUP(A247,[1]Sheet1!$A$2:$F$379,5,0)</f>
        <v>370</v>
      </c>
      <c r="U247" s="16" t="str">
        <f>VLOOKUP(A247,[1]Sheet1!$A$2:$F$379,6,0)</f>
        <v>369±1</v>
      </c>
      <c r="V247" s="16"/>
      <c r="W247" s="16"/>
      <c r="X247" s="16"/>
      <c r="Y247" s="18" t="str">
        <f>VLOOKUP(A247,[3]Combi!$A$1:$B$304,2,0)</f>
        <v>SOP/PROD/HOSE/SPS/2/1</v>
      </c>
    </row>
    <row r="248" spans="1:25" s="18" customFormat="1" x14ac:dyDescent="0.25">
      <c r="A248" s="13" t="s">
        <v>1132</v>
      </c>
      <c r="B248" s="14" t="str">
        <f>VLOOKUP(A248,[1]Sheet1!$A$2:$F$379,2,0)</f>
        <v>16572-0L110</v>
      </c>
      <c r="C248" s="14" t="s">
        <v>675</v>
      </c>
      <c r="D248" s="14" t="s">
        <v>1236</v>
      </c>
      <c r="E248" s="15">
        <v>237.7</v>
      </c>
      <c r="F248" s="14"/>
      <c r="G248" s="14"/>
      <c r="H248" s="14"/>
      <c r="I248" s="14"/>
      <c r="J248" s="15">
        <f t="shared" si="7"/>
        <v>237.7</v>
      </c>
      <c r="K248" s="14" t="s">
        <v>1266</v>
      </c>
      <c r="L248" s="15">
        <v>8.6999999999999993</v>
      </c>
      <c r="M248" s="15">
        <f t="shared" si="6"/>
        <v>246.39999999999998</v>
      </c>
      <c r="N248" s="14" t="str">
        <f>VLOOKUP(A248,[2]Sheet1!$B$4:$F$352,3,0)</f>
        <v>CHS2L</v>
      </c>
      <c r="O248" s="16">
        <f>VLOOKUP(A248,[2]Sheet1!$B$4:$F$352,4,0)</f>
        <v>5</v>
      </c>
      <c r="P248" s="16"/>
      <c r="Q248" s="16">
        <f>VLOOKUP(A248,[2]Sheet1!$B$4:$F$352,4,0)</f>
        <v>5</v>
      </c>
      <c r="R248" s="17">
        <f>VLOOKUP(A248,[1]Sheet1!$A$2:$F$379,3,0)</f>
        <v>37</v>
      </c>
      <c r="S248" s="16">
        <f>VLOOKUP(A248,[1]Sheet1!$A$2:$F$379,4,0)</f>
        <v>47</v>
      </c>
      <c r="T248" s="16">
        <f>VLOOKUP(A248,[1]Sheet1!$A$2:$F$379,5,0)</f>
        <v>314</v>
      </c>
      <c r="U248" s="16" t="str">
        <f>VLOOKUP(A248,[1]Sheet1!$A$2:$F$379,6,0)</f>
        <v>313±1</v>
      </c>
      <c r="V248" s="16"/>
      <c r="W248" s="16"/>
      <c r="X248" s="16"/>
      <c r="Y248" s="18" t="str">
        <f>VLOOKUP(A248,[3]Combi!$A$1:$B$304,2,0)</f>
        <v>SOP/PROD/HOSE/SPS/2/1</v>
      </c>
    </row>
    <row r="249" spans="1:25" s="18" customFormat="1" x14ac:dyDescent="0.25">
      <c r="A249" s="13" t="s">
        <v>942</v>
      </c>
      <c r="B249" s="14" t="str">
        <f>VLOOKUP(A249,[1]Sheet1!$A$2:$F$379,2,0)</f>
        <v>17341-0C170</v>
      </c>
      <c r="C249" s="14" t="s">
        <v>191</v>
      </c>
      <c r="D249" s="14" t="s">
        <v>1224</v>
      </c>
      <c r="E249" s="15">
        <v>19.79</v>
      </c>
      <c r="F249" s="14" t="s">
        <v>1225</v>
      </c>
      <c r="G249" s="15">
        <v>17.02</v>
      </c>
      <c r="H249" s="14" t="s">
        <v>1226</v>
      </c>
      <c r="I249" s="15">
        <v>44.04</v>
      </c>
      <c r="J249" s="15">
        <f t="shared" si="7"/>
        <v>80.849999999999994</v>
      </c>
      <c r="K249" s="14" t="s">
        <v>1264</v>
      </c>
      <c r="L249" s="15">
        <v>2.13</v>
      </c>
      <c r="M249" s="15">
        <f t="shared" si="6"/>
        <v>82.97999999999999</v>
      </c>
      <c r="N249" s="14" t="str">
        <f>VLOOKUP(A249,[2]Sheet1!$B$4:$F$352,3,0)</f>
        <v>CHS3L</v>
      </c>
      <c r="O249" s="16">
        <f>VLOOKUP(A249,[2]Sheet1!$B$4:$F$352,4,0)</f>
        <v>2</v>
      </c>
      <c r="P249" s="16"/>
      <c r="Q249" s="16">
        <f>VLOOKUP(A249,[2]Sheet1!$B$4:$F$352,4,0)</f>
        <v>2</v>
      </c>
      <c r="R249" s="17">
        <f>VLOOKUP(A249,[1]Sheet1!$A$2:$F$379,3,0)</f>
        <v>7.5</v>
      </c>
      <c r="S249" s="16">
        <f>VLOOKUP(A249,[1]Sheet1!$A$2:$F$379,4,0)</f>
        <v>16</v>
      </c>
      <c r="T249" s="16">
        <f>VLOOKUP(A249,[1]Sheet1!$A$2:$F$379,5,0)</f>
        <v>397</v>
      </c>
      <c r="U249" s="16" t="str">
        <f>VLOOKUP(A249,[1]Sheet1!$A$2:$F$379,6,0)</f>
        <v>388±3</v>
      </c>
      <c r="V249" s="16"/>
      <c r="W249" s="16"/>
      <c r="X249" s="16"/>
      <c r="Y249" s="18" t="str">
        <f>VLOOKUP(A249,[3]Combi!$A$1:$B$304,2,0)</f>
        <v>SOP/PROD/HOSE/SPS/3/2</v>
      </c>
    </row>
    <row r="250" spans="1:25" s="18" customFormat="1" x14ac:dyDescent="0.25">
      <c r="A250" s="13" t="s">
        <v>1133</v>
      </c>
      <c r="B250" s="14" t="str">
        <f>VLOOKUP(A250,[1]Sheet1!$A$2:$F$379,2,0)</f>
        <v>23827-0C050</v>
      </c>
      <c r="C250" s="14" t="s">
        <v>677</v>
      </c>
      <c r="D250" s="14" t="s">
        <v>1229</v>
      </c>
      <c r="E250" s="15">
        <v>39.07</v>
      </c>
      <c r="F250" s="14" t="s">
        <v>1230</v>
      </c>
      <c r="G250" s="15">
        <v>5.8239999999999998</v>
      </c>
      <c r="H250" s="14"/>
      <c r="I250" s="14"/>
      <c r="J250" s="15">
        <f t="shared" si="7"/>
        <v>44.893999999999998</v>
      </c>
      <c r="K250" s="14"/>
      <c r="L250" s="14"/>
      <c r="M250" s="15">
        <f t="shared" si="6"/>
        <v>44.893999999999998</v>
      </c>
      <c r="N250" s="14" t="str">
        <f>VLOOKUP(A250,[2]Sheet1!$B$4:$F$352,3,0)</f>
        <v>DL1</v>
      </c>
      <c r="O250" s="16">
        <f>VLOOKUP(A250,[2]Sheet1!$B$4:$F$352,4,0)</f>
        <v>4</v>
      </c>
      <c r="P250" s="16"/>
      <c r="Q250" s="16">
        <f>VLOOKUP(A250,[2]Sheet1!$B$4:$F$352,4,0)</f>
        <v>4</v>
      </c>
      <c r="R250" s="17">
        <f>VLOOKUP(A250,[1]Sheet1!$A$2:$F$379,3,0)</f>
        <v>7</v>
      </c>
      <c r="S250" s="16">
        <f>VLOOKUP(A250,[1]Sheet1!$A$2:$F$379,4,0)</f>
        <v>14</v>
      </c>
      <c r="T250" s="16" t="str">
        <f>VLOOKUP(A250,[1]Sheet1!$A$2:$F$379,5,0)</f>
        <v>357±2</v>
      </c>
      <c r="U250" s="16"/>
      <c r="V250" s="16"/>
      <c r="W250" s="16"/>
      <c r="X250" s="16"/>
      <c r="Y250" s="18" t="str">
        <f>VLOOKUP(A250,[3]Combi!$A$1:$B$304,2,0)</f>
        <v>SOP/PROD/HOSE/SPS/1/7</v>
      </c>
    </row>
    <row r="251" spans="1:25" s="18" customFormat="1" x14ac:dyDescent="0.25">
      <c r="A251" s="13" t="s">
        <v>1186</v>
      </c>
      <c r="B251" s="14" t="str">
        <f>VLOOKUP(A251,[1]Sheet1!$A$2:$F$379,2,0)</f>
        <v>23829-0P190</v>
      </c>
      <c r="C251" s="14" t="s">
        <v>800</v>
      </c>
      <c r="D251" s="14" t="s">
        <v>1229</v>
      </c>
      <c r="E251" s="15">
        <v>21.35</v>
      </c>
      <c r="F251" s="14" t="s">
        <v>1230</v>
      </c>
      <c r="G251" s="15">
        <v>5.65</v>
      </c>
      <c r="H251" s="14"/>
      <c r="I251" s="14"/>
      <c r="J251" s="15">
        <f t="shared" si="7"/>
        <v>27</v>
      </c>
      <c r="K251" s="14"/>
      <c r="L251" s="14"/>
      <c r="M251" s="15">
        <f t="shared" si="6"/>
        <v>27</v>
      </c>
      <c r="N251" s="14" t="str">
        <f>VLOOKUP(A251,[2]Sheet1!$B$4:$F$352,3,0)</f>
        <v>DL1</v>
      </c>
      <c r="O251" s="16">
        <f>VLOOKUP(A251,[2]Sheet1!$B$4:$F$352,4,0)</f>
        <v>5</v>
      </c>
      <c r="P251" s="16"/>
      <c r="Q251" s="16">
        <f>VLOOKUP(A251,[2]Sheet1!$B$4:$F$352,4,0)</f>
        <v>5</v>
      </c>
      <c r="R251" s="17">
        <f>VLOOKUP(A251,[1]Sheet1!$A$2:$F$379,3,0)</f>
        <v>7</v>
      </c>
      <c r="S251" s="16">
        <f>VLOOKUP(A251,[1]Sheet1!$A$2:$F$379,4,0)</f>
        <v>12</v>
      </c>
      <c r="T251" s="16" t="str">
        <f>VLOOKUP(A251,[1]Sheet1!$A$2:$F$379,5,0)</f>
        <v>270±2</v>
      </c>
      <c r="U251" s="16" t="str">
        <f>VLOOKUP(A251,[1]Sheet1!$A$2:$F$379,6,0)</f>
        <v>220-224</v>
      </c>
      <c r="V251" s="16"/>
      <c r="W251" s="16"/>
      <c r="X251" s="16"/>
      <c r="Y251" s="18" t="str">
        <f>VLOOKUP(A251,[3]Combi!$A$1:$B$304,2,0)</f>
        <v>SOP/PROD/HOSE/SPS/1/6</v>
      </c>
    </row>
    <row r="252" spans="1:25" s="18" customFormat="1" x14ac:dyDescent="0.25">
      <c r="A252" s="13" t="s">
        <v>901</v>
      </c>
      <c r="B252" s="14" t="str">
        <f>VLOOKUP(A252,[1]Sheet1!$A$2:$F$379,2,0)</f>
        <v>44774-KK070</v>
      </c>
      <c r="C252" s="14" t="s">
        <v>59</v>
      </c>
      <c r="D252" s="14" t="s">
        <v>1224</v>
      </c>
      <c r="E252" s="15">
        <v>23.53</v>
      </c>
      <c r="F252" s="14" t="s">
        <v>1227</v>
      </c>
      <c r="G252" s="15">
        <v>8.35</v>
      </c>
      <c r="H252" s="14" t="s">
        <v>1228</v>
      </c>
      <c r="I252" s="15">
        <v>42.7</v>
      </c>
      <c r="J252" s="15">
        <f t="shared" si="7"/>
        <v>74.580000000000013</v>
      </c>
      <c r="K252" s="14" t="s">
        <v>1264</v>
      </c>
      <c r="L252" s="15">
        <v>1.89</v>
      </c>
      <c r="M252" s="15">
        <f t="shared" si="6"/>
        <v>76.47</v>
      </c>
      <c r="N252" s="14" t="str">
        <f>VLOOKUP(A252,[2]Sheet1!$B$4:$F$352,3,0)</f>
        <v>CHS3L</v>
      </c>
      <c r="O252" s="16">
        <f>VLOOKUP(A252,[2]Sheet1!$B$4:$F$352,4,0)</f>
        <v>2</v>
      </c>
      <c r="P252" s="16"/>
      <c r="Q252" s="16">
        <f>VLOOKUP(A252,[2]Sheet1!$B$4:$F$352,4,0)</f>
        <v>2</v>
      </c>
      <c r="R252" s="17">
        <f>VLOOKUP(A252,[1]Sheet1!$A$2:$F$379,3,0)</f>
        <v>8.73</v>
      </c>
      <c r="S252" s="16">
        <f>VLOOKUP(A252,[1]Sheet1!$A$2:$F$379,4,0)</f>
        <v>17.46</v>
      </c>
      <c r="T252" s="16">
        <f>VLOOKUP(A252,[1]Sheet1!$A$2:$F$379,5,0)</f>
        <v>359</v>
      </c>
      <c r="U252" s="16"/>
      <c r="V252" s="16"/>
      <c r="W252" s="16"/>
      <c r="X252" s="16"/>
      <c r="Y252" s="18" t="str">
        <f>VLOOKUP(A252,[3]Combi!$A$1:$B$304,2,0)</f>
        <v>SOP/PROD/HOSE/SPS/3/8</v>
      </c>
    </row>
    <row r="253" spans="1:25" s="18" customFormat="1" x14ac:dyDescent="0.25">
      <c r="A253" s="13" t="s">
        <v>925</v>
      </c>
      <c r="B253" s="14" t="str">
        <f>VLOOKUP(A253,[1]Sheet1!$A$2:$F$379,2,0)</f>
        <v>44773-KK030</v>
      </c>
      <c r="C253" s="14" t="s">
        <v>132</v>
      </c>
      <c r="D253" s="14" t="s">
        <v>1224</v>
      </c>
      <c r="E253" s="15">
        <v>11.12</v>
      </c>
      <c r="F253" s="14" t="s">
        <v>1227</v>
      </c>
      <c r="G253" s="15">
        <v>3.98</v>
      </c>
      <c r="H253" s="14" t="s">
        <v>1228</v>
      </c>
      <c r="I253" s="15">
        <v>20.329999999999998</v>
      </c>
      <c r="J253" s="15">
        <f t="shared" si="7"/>
        <v>35.43</v>
      </c>
      <c r="K253" s="14" t="s">
        <v>1264</v>
      </c>
      <c r="L253" s="15">
        <v>0.9</v>
      </c>
      <c r="M253" s="15">
        <f t="shared" si="6"/>
        <v>36.33</v>
      </c>
      <c r="N253" s="14" t="str">
        <f>VLOOKUP(A253,[2]Sheet1!$B$4:$F$352,3,0)</f>
        <v>CHS3L</v>
      </c>
      <c r="O253" s="16">
        <f>VLOOKUP(A253,[2]Sheet1!$B$4:$F$352,4,0)</f>
        <v>2</v>
      </c>
      <c r="P253" s="16"/>
      <c r="Q253" s="16">
        <f>VLOOKUP(A253,[2]Sheet1!$B$4:$F$352,4,0)</f>
        <v>2</v>
      </c>
      <c r="R253" s="17">
        <f>VLOOKUP(A253,[1]Sheet1!$A$2:$F$379,3,0)</f>
        <v>8.73</v>
      </c>
      <c r="S253" s="16">
        <f>VLOOKUP(A253,[1]Sheet1!$A$2:$F$379,4,0)</f>
        <v>17.46</v>
      </c>
      <c r="T253" s="16">
        <f>VLOOKUP(A253,[1]Sheet1!$A$2:$F$379,5,0)</f>
        <v>172</v>
      </c>
      <c r="U253" s="16"/>
      <c r="V253" s="16"/>
      <c r="W253" s="16"/>
      <c r="X253" s="16"/>
      <c r="Y253" s="18" t="str">
        <f>VLOOKUP(A253,[3]Combi!$A$1:$B$304,2,0)</f>
        <v>SOP/PROD/HOSE/SPS/3/8</v>
      </c>
    </row>
    <row r="254" spans="1:25" s="18" customFormat="1" x14ac:dyDescent="0.25">
      <c r="A254" s="13" t="s">
        <v>900</v>
      </c>
      <c r="B254" s="14" t="str">
        <f>VLOOKUP(A254,[1]Sheet1!$A$2:$F$379,2,0)</f>
        <v>17342-0C100</v>
      </c>
      <c r="C254" s="14" t="s">
        <v>55</v>
      </c>
      <c r="D254" s="14" t="s">
        <v>1224</v>
      </c>
      <c r="E254" s="15">
        <v>21.29</v>
      </c>
      <c r="F254" s="14" t="s">
        <v>1225</v>
      </c>
      <c r="G254" s="15">
        <v>18.32</v>
      </c>
      <c r="H254" s="14" t="s">
        <v>1226</v>
      </c>
      <c r="I254" s="15">
        <v>47.39</v>
      </c>
      <c r="J254" s="15">
        <f t="shared" si="7"/>
        <v>87</v>
      </c>
      <c r="K254" s="14" t="s">
        <v>1264</v>
      </c>
      <c r="L254" s="15">
        <v>2.2999999999999998</v>
      </c>
      <c r="M254" s="15">
        <f t="shared" si="6"/>
        <v>89.299999999999983</v>
      </c>
      <c r="N254" s="14" t="str">
        <f>VLOOKUP(A254,[2]Sheet1!$B$4:$F$352,3,0)</f>
        <v>CHS3L</v>
      </c>
      <c r="O254" s="16">
        <f>VLOOKUP(A254,[2]Sheet1!$B$4:$F$352,4,0)</f>
        <v>1</v>
      </c>
      <c r="P254" s="16"/>
      <c r="Q254" s="16">
        <f>VLOOKUP(A254,[2]Sheet1!$B$4:$F$352,4,0)</f>
        <v>1</v>
      </c>
      <c r="R254" s="17">
        <f>VLOOKUP(A254,[1]Sheet1!$A$2:$F$379,3,0)</f>
        <v>7.5</v>
      </c>
      <c r="S254" s="16">
        <f>VLOOKUP(A254,[1]Sheet1!$A$2:$F$379,4,0)</f>
        <v>16</v>
      </c>
      <c r="T254" s="16">
        <f>VLOOKUP(A254,[1]Sheet1!$A$2:$F$379,5,0)</f>
        <v>427</v>
      </c>
      <c r="U254" s="16" t="str">
        <f>VLOOKUP(A254,[1]Sheet1!$A$2:$F$379,6,0)</f>
        <v>417±3</v>
      </c>
      <c r="V254" s="16"/>
      <c r="W254" s="16"/>
      <c r="X254" s="16"/>
      <c r="Y254" s="18" t="str">
        <f>VLOOKUP(A254,[3]Combi!$A$1:$B$304,2,0)</f>
        <v>SOP/PROD/HOSE/SPS/3/2</v>
      </c>
    </row>
    <row r="255" spans="1:25" s="18" customFormat="1" x14ac:dyDescent="0.25">
      <c r="A255" s="13" t="s">
        <v>916</v>
      </c>
      <c r="B255" s="14" t="str">
        <f>VLOOKUP(A255,[1]Sheet1!$A$2:$F$379,2,0)</f>
        <v>44772-KK040</v>
      </c>
      <c r="C255" s="14" t="s">
        <v>104</v>
      </c>
      <c r="D255" s="14" t="s">
        <v>1224</v>
      </c>
      <c r="E255" s="15">
        <v>8.5500000000000007</v>
      </c>
      <c r="F255" s="14" t="s">
        <v>1225</v>
      </c>
      <c r="G255" s="15">
        <v>6.99</v>
      </c>
      <c r="H255" s="14" t="s">
        <v>1226</v>
      </c>
      <c r="I255" s="15">
        <v>19.07</v>
      </c>
      <c r="J255" s="15">
        <f t="shared" si="7"/>
        <v>34.61</v>
      </c>
      <c r="K255" s="14" t="s">
        <v>1264</v>
      </c>
      <c r="L255" s="15">
        <v>0.85</v>
      </c>
      <c r="M255" s="15">
        <f t="shared" si="6"/>
        <v>35.460000000000008</v>
      </c>
      <c r="N255" s="14" t="str">
        <f>VLOOKUP(A255,[2]Sheet1!$B$4:$F$352,3,0)</f>
        <v>CHS3L</v>
      </c>
      <c r="O255" s="16">
        <f>VLOOKUP(A255,[2]Sheet1!$B$4:$F$352,4,0)</f>
        <v>2</v>
      </c>
      <c r="P255" s="16"/>
      <c r="Q255" s="16">
        <f>VLOOKUP(A255,[2]Sheet1!$B$4:$F$352,4,0)</f>
        <v>2</v>
      </c>
      <c r="R255" s="17">
        <f>VLOOKUP(A255,[1]Sheet1!$A$2:$F$379,3,0)</f>
        <v>8.73</v>
      </c>
      <c r="S255" s="16">
        <f>VLOOKUP(A255,[1]Sheet1!$A$2:$F$379,4,0)</f>
        <v>17.46</v>
      </c>
      <c r="T255" s="16">
        <f>VLOOKUP(A255,[1]Sheet1!$A$2:$F$379,5,0)</f>
        <v>168</v>
      </c>
      <c r="U255" s="16" t="str">
        <f>VLOOKUP(A255,[1]Sheet1!$A$2:$F$379,6,0)</f>
        <v>161-167</v>
      </c>
      <c r="V255" s="16"/>
      <c r="W255" s="16"/>
      <c r="X255" s="16"/>
      <c r="Y255" s="18" t="str">
        <f>VLOOKUP(A255,[3]Combi!$A$1:$B$304,2,0)</f>
        <v>SOP/PROD/HOSE/SPS/3/6</v>
      </c>
    </row>
    <row r="256" spans="1:25" s="18" customFormat="1" x14ac:dyDescent="0.25">
      <c r="A256" s="13" t="s">
        <v>894</v>
      </c>
      <c r="B256" s="14" t="str">
        <f>VLOOKUP(A256,[1]Sheet1!$A$2:$F$379,2,0)</f>
        <v>44772-KK020</v>
      </c>
      <c r="C256" s="14" t="s">
        <v>30</v>
      </c>
      <c r="D256" s="14" t="s">
        <v>1224</v>
      </c>
      <c r="E256" s="15">
        <v>13.13</v>
      </c>
      <c r="F256" s="14" t="s">
        <v>1225</v>
      </c>
      <c r="G256" s="15">
        <v>10.74</v>
      </c>
      <c r="H256" s="14" t="s">
        <v>1226</v>
      </c>
      <c r="I256" s="15">
        <v>29.3</v>
      </c>
      <c r="J256" s="15">
        <f t="shared" si="7"/>
        <v>53.17</v>
      </c>
      <c r="K256" s="14" t="s">
        <v>1264</v>
      </c>
      <c r="L256" s="15">
        <v>1.3</v>
      </c>
      <c r="M256" s="15">
        <f t="shared" si="6"/>
        <v>54.470000000000006</v>
      </c>
      <c r="N256" s="14" t="str">
        <f>VLOOKUP(A256,[2]Sheet1!$B$4:$F$352,3,0)</f>
        <v>CHS3L</v>
      </c>
      <c r="O256" s="16">
        <f>VLOOKUP(A256,[2]Sheet1!$B$4:$F$352,4,0)</f>
        <v>1</v>
      </c>
      <c r="P256" s="16"/>
      <c r="Q256" s="16">
        <f>VLOOKUP(A256,[2]Sheet1!$B$4:$F$352,4,0)</f>
        <v>1</v>
      </c>
      <c r="R256" s="17">
        <f>VLOOKUP(A256,[1]Sheet1!$A$2:$F$379,3,0)</f>
        <v>8.73</v>
      </c>
      <c r="S256" s="16">
        <f>VLOOKUP(A256,[1]Sheet1!$A$2:$F$379,4,0)</f>
        <v>17.46</v>
      </c>
      <c r="T256" s="16">
        <f>VLOOKUP(A256,[1]Sheet1!$A$2:$F$379,5,0)</f>
        <v>255</v>
      </c>
      <c r="U256" s="16" t="str">
        <f>VLOOKUP(A256,[1]Sheet1!$A$2:$F$379,6,0)</f>
        <v>250-252</v>
      </c>
      <c r="V256" s="16"/>
      <c r="W256" s="16"/>
      <c r="X256" s="16"/>
      <c r="Y256" s="18" t="str">
        <f>VLOOKUP(A256,[3]Combi!$A$1:$B$304,2,0)</f>
        <v>SOP/PROD/HOSE/SPS/3/6</v>
      </c>
    </row>
    <row r="257" spans="1:25" s="18" customFormat="1" x14ac:dyDescent="0.25">
      <c r="A257" s="13" t="s">
        <v>915</v>
      </c>
      <c r="B257" s="14" t="str">
        <f>VLOOKUP(A257,[1]Sheet1!$A$2:$F$379,2,0)</f>
        <v>44772-KK030</v>
      </c>
      <c r="C257" s="14" t="s">
        <v>102</v>
      </c>
      <c r="D257" s="14" t="s">
        <v>1224</v>
      </c>
      <c r="E257" s="15">
        <v>13.03</v>
      </c>
      <c r="F257" s="14" t="s">
        <v>1225</v>
      </c>
      <c r="G257" s="15">
        <v>10.65</v>
      </c>
      <c r="H257" s="14" t="s">
        <v>1226</v>
      </c>
      <c r="I257" s="15">
        <v>29.07</v>
      </c>
      <c r="J257" s="15">
        <f t="shared" si="7"/>
        <v>52.75</v>
      </c>
      <c r="K257" s="14" t="s">
        <v>1264</v>
      </c>
      <c r="L257" s="15">
        <v>1.29</v>
      </c>
      <c r="M257" s="15">
        <f t="shared" si="6"/>
        <v>54.04</v>
      </c>
      <c r="N257" s="14" t="str">
        <f>VLOOKUP(A257,[2]Sheet1!$B$4:$F$352,3,0)</f>
        <v>CHS3L</v>
      </c>
      <c r="O257" s="16">
        <f>VLOOKUP(A257,[2]Sheet1!$B$4:$F$352,4,0)</f>
        <v>1</v>
      </c>
      <c r="P257" s="16"/>
      <c r="Q257" s="16">
        <f>VLOOKUP(A257,[2]Sheet1!$B$4:$F$352,4,0)</f>
        <v>1</v>
      </c>
      <c r="R257" s="17">
        <f>VLOOKUP(A257,[1]Sheet1!$A$2:$F$379,3,0)</f>
        <v>8.73</v>
      </c>
      <c r="S257" s="16">
        <f>VLOOKUP(A257,[1]Sheet1!$A$2:$F$379,4,0)</f>
        <v>17.46</v>
      </c>
      <c r="T257" s="16">
        <f>VLOOKUP(A257,[1]Sheet1!$A$2:$F$379,5,0)</f>
        <v>257</v>
      </c>
      <c r="U257" s="16"/>
      <c r="V257" s="16"/>
      <c r="W257" s="16"/>
      <c r="X257" s="16"/>
      <c r="Y257" s="18" t="str">
        <f>VLOOKUP(A257,[3]Combi!$A$1:$B$304,2,0)</f>
        <v>SOP/PROD/HOSE/SPS/3/6</v>
      </c>
    </row>
    <row r="258" spans="1:25" s="18" customFormat="1" x14ac:dyDescent="0.25">
      <c r="A258" s="13" t="s">
        <v>927</v>
      </c>
      <c r="B258" s="14" t="str">
        <f>VLOOKUP(A258,[1]Sheet1!$A$2:$F$379,2,0)</f>
        <v>17342-0C090</v>
      </c>
      <c r="C258" s="14" t="s">
        <v>140</v>
      </c>
      <c r="D258" s="14" t="s">
        <v>1224</v>
      </c>
      <c r="E258" s="15">
        <v>21.09</v>
      </c>
      <c r="F258" s="14" t="s">
        <v>1225</v>
      </c>
      <c r="G258" s="15">
        <v>18.149999999999999</v>
      </c>
      <c r="H258" s="14" t="s">
        <v>1226</v>
      </c>
      <c r="I258" s="15">
        <v>46.94</v>
      </c>
      <c r="J258" s="15">
        <f t="shared" si="7"/>
        <v>86.179999999999993</v>
      </c>
      <c r="K258" s="14" t="s">
        <v>1264</v>
      </c>
      <c r="L258" s="15">
        <v>2.27</v>
      </c>
      <c r="M258" s="15">
        <f t="shared" ref="M258:M321" si="8">SUM(L258,I258,G258,E258)</f>
        <v>88.45</v>
      </c>
      <c r="N258" s="14" t="str">
        <f>VLOOKUP(A258,[2]Sheet1!$B$4:$F$352,3,0)</f>
        <v>CHS3L</v>
      </c>
      <c r="O258" s="16">
        <f>VLOOKUP(A258,[2]Sheet1!$B$4:$F$352,4,0)</f>
        <v>1</v>
      </c>
      <c r="P258" s="16"/>
      <c r="Q258" s="16">
        <f>VLOOKUP(A258,[2]Sheet1!$B$4:$F$352,4,0)</f>
        <v>1</v>
      </c>
      <c r="R258" s="17">
        <f>VLOOKUP(A258,[1]Sheet1!$A$2:$F$379,3,0)</f>
        <v>7.5</v>
      </c>
      <c r="S258" s="16">
        <f>VLOOKUP(A258,[1]Sheet1!$A$2:$F$379,4,0)</f>
        <v>16</v>
      </c>
      <c r="T258" s="16">
        <f>VLOOKUP(A258,[1]Sheet1!$A$2:$F$379,5,0)</f>
        <v>423</v>
      </c>
      <c r="U258" s="16" t="str">
        <f>VLOOKUP(A258,[1]Sheet1!$A$2:$F$379,6,0)</f>
        <v>413±3</v>
      </c>
      <c r="V258" s="16"/>
      <c r="W258" s="16"/>
      <c r="X258" s="16"/>
      <c r="Y258" s="18" t="str">
        <f>VLOOKUP(A258,[3]Combi!$A$1:$B$304,2,0)</f>
        <v>SOP/PROD/HOSE/SPS/3/2</v>
      </c>
    </row>
    <row r="259" spans="1:25" s="18" customFormat="1" x14ac:dyDescent="0.25">
      <c r="A259" s="13" t="s">
        <v>902</v>
      </c>
      <c r="B259" s="14" t="str">
        <f>VLOOKUP(A259,[1]Sheet1!$A$2:$F$379,2,0)</f>
        <v>44771-KK070</v>
      </c>
      <c r="C259" s="14" t="s">
        <v>63</v>
      </c>
      <c r="D259" s="14" t="s">
        <v>1224</v>
      </c>
      <c r="E259" s="15">
        <v>9.06</v>
      </c>
      <c r="F259" s="14" t="s">
        <v>1225</v>
      </c>
      <c r="G259" s="15">
        <v>7.41</v>
      </c>
      <c r="H259" s="14" t="s">
        <v>1226</v>
      </c>
      <c r="I259" s="15">
        <v>20.22</v>
      </c>
      <c r="J259" s="15">
        <f t="shared" ref="J259:J322" si="9">E259+G259+I259</f>
        <v>36.69</v>
      </c>
      <c r="K259" s="14" t="s">
        <v>1264</v>
      </c>
      <c r="L259" s="15">
        <v>0.9</v>
      </c>
      <c r="M259" s="15">
        <f t="shared" si="8"/>
        <v>37.589999999999996</v>
      </c>
      <c r="N259" s="14" t="str">
        <f>VLOOKUP(A259,[2]Sheet1!$B$4:$F$352,3,0)</f>
        <v>CHS3L</v>
      </c>
      <c r="O259" s="16">
        <f>VLOOKUP(A259,[2]Sheet1!$B$4:$F$352,4,0)</f>
        <v>1</v>
      </c>
      <c r="P259" s="16"/>
      <c r="Q259" s="16">
        <f>VLOOKUP(A259,[2]Sheet1!$B$4:$F$352,4,0)</f>
        <v>1</v>
      </c>
      <c r="R259" s="17">
        <f>VLOOKUP(A259,[1]Sheet1!$A$2:$F$379,3,0)</f>
        <v>8.73</v>
      </c>
      <c r="S259" s="16">
        <f>VLOOKUP(A259,[1]Sheet1!$A$2:$F$379,4,0)</f>
        <v>17.46</v>
      </c>
      <c r="T259" s="16">
        <f>VLOOKUP(A259,[1]Sheet1!$A$2:$F$379,5,0)</f>
        <v>178</v>
      </c>
      <c r="U259" s="16" t="str">
        <f>VLOOKUP(A259,[1]Sheet1!$A$2:$F$379,6,0)</f>
        <v>170-177</v>
      </c>
      <c r="V259" s="16"/>
      <c r="W259" s="16"/>
      <c r="X259" s="16"/>
      <c r="Y259" s="18" t="str">
        <f>VLOOKUP(A259,[3]Combi!$A$1:$B$304,2,0)</f>
        <v>SOP/PROD/HOSE/SPS/3/6</v>
      </c>
    </row>
    <row r="260" spans="1:25" s="18" customFormat="1" x14ac:dyDescent="0.25">
      <c r="A260" s="13" t="s">
        <v>928</v>
      </c>
      <c r="B260" s="14" t="str">
        <f>VLOOKUP(A260,[1]Sheet1!$A$2:$F$379,2,0)</f>
        <v>44772-KK020</v>
      </c>
      <c r="C260" s="14" t="s">
        <v>30</v>
      </c>
      <c r="D260" s="14" t="s">
        <v>1224</v>
      </c>
      <c r="E260" s="15">
        <v>13.13</v>
      </c>
      <c r="F260" s="14" t="s">
        <v>1225</v>
      </c>
      <c r="G260" s="15">
        <v>10.47</v>
      </c>
      <c r="H260" s="14" t="s">
        <v>1226</v>
      </c>
      <c r="I260" s="15">
        <v>29.3</v>
      </c>
      <c r="J260" s="15">
        <f t="shared" si="9"/>
        <v>52.900000000000006</v>
      </c>
      <c r="K260" s="14" t="s">
        <v>1264</v>
      </c>
      <c r="L260" s="15">
        <v>1.3</v>
      </c>
      <c r="M260" s="15">
        <f t="shared" si="8"/>
        <v>54.2</v>
      </c>
      <c r="N260" s="14" t="str">
        <f>VLOOKUP(A260,[2]Sheet1!$B$4:$F$352,3,0)</f>
        <v>CHS3L</v>
      </c>
      <c r="O260" s="16">
        <f>VLOOKUP(A260,[2]Sheet1!$B$4:$F$352,4,0)</f>
        <v>1</v>
      </c>
      <c r="P260" s="16"/>
      <c r="Q260" s="16">
        <f>VLOOKUP(A260,[2]Sheet1!$B$4:$F$352,4,0)</f>
        <v>1</v>
      </c>
      <c r="R260" s="17">
        <f>VLOOKUP(A260,[1]Sheet1!$A$2:$F$379,3,0)</f>
        <v>8.73</v>
      </c>
      <c r="S260" s="16">
        <f>VLOOKUP(A260,[1]Sheet1!$A$2:$F$379,4,0)</f>
        <v>17.46</v>
      </c>
      <c r="T260" s="16">
        <f>VLOOKUP(A260,[1]Sheet1!$A$2:$F$379,5,0)</f>
        <v>255</v>
      </c>
      <c r="U260" s="16" t="str">
        <f>VLOOKUP(A260,[1]Sheet1!$A$2:$F$379,6,0)</f>
        <v>250-252</v>
      </c>
      <c r="V260" s="16"/>
      <c r="W260" s="16"/>
      <c r="X260" s="16"/>
      <c r="Y260" s="18" t="str">
        <f>VLOOKUP(A260,[3]Combi!$A$1:$B$304,2,0)</f>
        <v>SOP/PROD/HOSE/SPS/3/6</v>
      </c>
    </row>
    <row r="261" spans="1:25" s="18" customFormat="1" x14ac:dyDescent="0.25">
      <c r="A261" s="13" t="s">
        <v>929</v>
      </c>
      <c r="B261" s="14" t="str">
        <f>VLOOKUP(A261,[1]Sheet1!$A$2:$F$379,2,0)</f>
        <v>44772-KK030</v>
      </c>
      <c r="C261" s="14" t="s">
        <v>102</v>
      </c>
      <c r="D261" s="14" t="s">
        <v>1224</v>
      </c>
      <c r="E261" s="15">
        <v>13.03</v>
      </c>
      <c r="F261" s="14" t="s">
        <v>1225</v>
      </c>
      <c r="G261" s="15">
        <v>10.65</v>
      </c>
      <c r="H261" s="14" t="s">
        <v>1226</v>
      </c>
      <c r="I261" s="15">
        <v>29.07</v>
      </c>
      <c r="J261" s="15">
        <f t="shared" si="9"/>
        <v>52.75</v>
      </c>
      <c r="K261" s="14" t="s">
        <v>1264</v>
      </c>
      <c r="L261" s="15">
        <v>1.29</v>
      </c>
      <c r="M261" s="15">
        <f t="shared" si="8"/>
        <v>54.04</v>
      </c>
      <c r="N261" s="14" t="str">
        <f>VLOOKUP(A261,[2]Sheet1!$B$4:$F$352,3,0)</f>
        <v>CHS3L</v>
      </c>
      <c r="O261" s="16">
        <f>VLOOKUP(A261,[2]Sheet1!$B$4:$F$352,4,0)</f>
        <v>1</v>
      </c>
      <c r="P261" s="16"/>
      <c r="Q261" s="16">
        <f>VLOOKUP(A261,[2]Sheet1!$B$4:$F$352,4,0)</f>
        <v>1</v>
      </c>
      <c r="R261" s="17">
        <f>VLOOKUP(A261,[1]Sheet1!$A$2:$F$379,3,0)</f>
        <v>8.73</v>
      </c>
      <c r="S261" s="16">
        <f>VLOOKUP(A261,[1]Sheet1!$A$2:$F$379,4,0)</f>
        <v>17.46</v>
      </c>
      <c r="T261" s="16">
        <f>VLOOKUP(A261,[1]Sheet1!$A$2:$F$379,5,0)</f>
        <v>257</v>
      </c>
      <c r="U261" s="16" t="str">
        <f>VLOOKUP(A261,[1]Sheet1!$A$2:$F$379,6,0)</f>
        <v>252-254</v>
      </c>
      <c r="V261" s="16"/>
      <c r="W261" s="16"/>
      <c r="X261" s="16"/>
      <c r="Y261" s="18" t="str">
        <f>VLOOKUP(A261,[3]Combi!$A$1:$B$304,2,0)</f>
        <v>SOP/PROD/HOSE/SPS/3/6</v>
      </c>
    </row>
    <row r="262" spans="1:25" s="18" customFormat="1" x14ac:dyDescent="0.25">
      <c r="A262" s="13" t="s">
        <v>921</v>
      </c>
      <c r="B262" s="14" t="str">
        <f>VLOOKUP(A262,[1]Sheet1!$A$2:$F$379,2,0)</f>
        <v>44774-KK040</v>
      </c>
      <c r="C262" s="14" t="s">
        <v>123</v>
      </c>
      <c r="D262" s="14" t="s">
        <v>1224</v>
      </c>
      <c r="E262" s="15">
        <v>21.94</v>
      </c>
      <c r="F262" s="14" t="s">
        <v>1227</v>
      </c>
      <c r="G262" s="15">
        <v>7.76</v>
      </c>
      <c r="H262" s="14" t="s">
        <v>1228</v>
      </c>
      <c r="I262" s="15">
        <v>39.83</v>
      </c>
      <c r="J262" s="15">
        <f t="shared" si="9"/>
        <v>69.53</v>
      </c>
      <c r="K262" s="14" t="s">
        <v>1264</v>
      </c>
      <c r="L262" s="15">
        <v>1.76</v>
      </c>
      <c r="M262" s="15">
        <f t="shared" si="8"/>
        <v>71.289999999999992</v>
      </c>
      <c r="N262" s="14" t="str">
        <f>VLOOKUP(A262,[2]Sheet1!$B$4:$F$352,3,0)</f>
        <v>CHS3L</v>
      </c>
      <c r="O262" s="16">
        <f>VLOOKUP(A262,[2]Sheet1!$B$4:$F$352,4,0)</f>
        <v>2</v>
      </c>
      <c r="P262" s="16"/>
      <c r="Q262" s="16">
        <f>VLOOKUP(A262,[2]Sheet1!$B$4:$F$352,4,0)</f>
        <v>2</v>
      </c>
      <c r="R262" s="17">
        <f>VLOOKUP(A262,[1]Sheet1!$A$2:$F$379,3,0)</f>
        <v>8.73</v>
      </c>
      <c r="S262" s="16">
        <f>VLOOKUP(A262,[1]Sheet1!$A$2:$F$379,4,0)</f>
        <v>17.46</v>
      </c>
      <c r="T262" s="16">
        <f>VLOOKUP(A262,[1]Sheet1!$A$2:$F$379,5,0)</f>
        <v>319</v>
      </c>
      <c r="U262" s="16" t="str">
        <f>VLOOKUP(A262,[1]Sheet1!$A$2:$F$379,6,0)</f>
        <v>313-315</v>
      </c>
      <c r="V262" s="16"/>
      <c r="W262" s="16"/>
      <c r="X262" s="16"/>
      <c r="Y262" s="18" t="str">
        <f>VLOOKUP(A262,[3]Combi!$A$1:$B$304,2,0)</f>
        <v>SOP/PROD/HOSE/SPS/3/8</v>
      </c>
    </row>
    <row r="263" spans="1:25" s="18" customFormat="1" x14ac:dyDescent="0.25">
      <c r="A263" s="13" t="s">
        <v>912</v>
      </c>
      <c r="B263" s="14" t="str">
        <f>VLOOKUP(A263,[1]Sheet1!$A$2:$F$379,2,0)</f>
        <v>44773-KK030</v>
      </c>
      <c r="C263" s="14" t="s">
        <v>93</v>
      </c>
      <c r="D263" s="14" t="s">
        <v>1224</v>
      </c>
      <c r="E263" s="15">
        <v>11.2</v>
      </c>
      <c r="F263" s="14" t="s">
        <v>1227</v>
      </c>
      <c r="G263" s="15">
        <v>3.98</v>
      </c>
      <c r="H263" s="14" t="s">
        <v>1228</v>
      </c>
      <c r="I263" s="15">
        <v>20.329999999999998</v>
      </c>
      <c r="J263" s="15">
        <f t="shared" si="9"/>
        <v>35.51</v>
      </c>
      <c r="K263" s="14" t="s">
        <v>1264</v>
      </c>
      <c r="L263" s="15">
        <v>0.9</v>
      </c>
      <c r="M263" s="15">
        <f t="shared" si="8"/>
        <v>36.409999999999997</v>
      </c>
      <c r="N263" s="14" t="str">
        <f>VLOOKUP(A263,[2]Sheet1!$B$4:$F$352,3,0)</f>
        <v>CHS3L</v>
      </c>
      <c r="O263" s="16">
        <f>VLOOKUP(A263,[2]Sheet1!$B$4:$F$352,4,0)</f>
        <v>2</v>
      </c>
      <c r="P263" s="16"/>
      <c r="Q263" s="16">
        <f>VLOOKUP(A263,[2]Sheet1!$B$4:$F$352,4,0)</f>
        <v>2</v>
      </c>
      <c r="R263" s="17">
        <f>VLOOKUP(A263,[1]Sheet1!$A$2:$F$379,3,0)</f>
        <v>8.73</v>
      </c>
      <c r="S263" s="16">
        <f>VLOOKUP(A263,[1]Sheet1!$A$2:$F$379,4,0)</f>
        <v>17.46</v>
      </c>
      <c r="T263" s="16">
        <f>VLOOKUP(A263,[1]Sheet1!$A$2:$F$379,5,0)</f>
        <v>172</v>
      </c>
      <c r="U263" s="16" t="str">
        <f>VLOOKUP(A263,[1]Sheet1!$A$2:$F$379,6,0)</f>
        <v>165-171</v>
      </c>
      <c r="V263" s="16"/>
      <c r="W263" s="16"/>
      <c r="X263" s="16"/>
      <c r="Y263" s="18" t="str">
        <f>VLOOKUP(A263,[3]Combi!$A$1:$B$304,2,0)</f>
        <v>SOP/PROD/HOSE/SPS/3/8</v>
      </c>
    </row>
    <row r="264" spans="1:25" s="18" customFormat="1" x14ac:dyDescent="0.25">
      <c r="A264" s="13" t="s">
        <v>895</v>
      </c>
      <c r="B264" s="14" t="str">
        <f>VLOOKUP(A264,[1]Sheet1!$A$2:$F$379,2,0)</f>
        <v>44774-KK080</v>
      </c>
      <c r="C264" s="14" t="s">
        <v>36</v>
      </c>
      <c r="D264" s="14" t="s">
        <v>1224</v>
      </c>
      <c r="E264" s="15">
        <v>20.03</v>
      </c>
      <c r="F264" s="14" t="s">
        <v>1227</v>
      </c>
      <c r="G264" s="15">
        <v>7.11</v>
      </c>
      <c r="H264" s="14" t="s">
        <v>1228</v>
      </c>
      <c r="I264" s="15">
        <v>36.36</v>
      </c>
      <c r="J264" s="15">
        <f t="shared" si="9"/>
        <v>63.5</v>
      </c>
      <c r="K264" s="14" t="s">
        <v>1263</v>
      </c>
      <c r="L264" s="15">
        <v>1.61</v>
      </c>
      <c r="M264" s="15">
        <f t="shared" si="8"/>
        <v>65.11</v>
      </c>
      <c r="N264" s="14" t="str">
        <f>VLOOKUP(A264,[2]Sheet1!$B$4:$F$352,3,0)</f>
        <v>CHS3L</v>
      </c>
      <c r="O264" s="16">
        <f>VLOOKUP(A264,[2]Sheet1!$B$4:$F$352,4,0)</f>
        <v>2</v>
      </c>
      <c r="P264" s="16"/>
      <c r="Q264" s="16">
        <f>VLOOKUP(A264,[2]Sheet1!$B$4:$F$352,4,0)</f>
        <v>2</v>
      </c>
      <c r="R264" s="17">
        <f>VLOOKUP(A264,[1]Sheet1!$A$2:$F$379,3,0)</f>
        <v>8.73</v>
      </c>
      <c r="S264" s="16">
        <f>VLOOKUP(A264,[1]Sheet1!$A$2:$F$379,4,0)</f>
        <v>17.46</v>
      </c>
      <c r="T264" s="16">
        <f>VLOOKUP(A264,[1]Sheet1!$A$2:$F$379,5,0)</f>
        <v>306</v>
      </c>
      <c r="U264" s="16" t="str">
        <f>VLOOKUP(A264,[1]Sheet1!$A$2:$F$379,6,0)</f>
        <v>300-302</v>
      </c>
      <c r="V264" s="16"/>
      <c r="W264" s="16"/>
      <c r="X264" s="16"/>
      <c r="Y264" s="18" t="str">
        <f>VLOOKUP(A264,[3]Combi!$A$1:$B$304,2,0)</f>
        <v>SOP/PROD/HOSE/SPS/3/8</v>
      </c>
    </row>
    <row r="265" spans="1:25" s="18" customFormat="1" x14ac:dyDescent="0.25">
      <c r="A265" s="13" t="s">
        <v>896</v>
      </c>
      <c r="B265" s="14" t="str">
        <f>VLOOKUP(A265,[1]Sheet1!$A$2:$F$379,2,0)</f>
        <v>44773-KK030</v>
      </c>
      <c r="C265" s="14" t="s">
        <v>40</v>
      </c>
      <c r="D265" s="14" t="s">
        <v>1224</v>
      </c>
      <c r="E265" s="15">
        <v>11.2</v>
      </c>
      <c r="F265" s="14" t="s">
        <v>1227</v>
      </c>
      <c r="G265" s="15">
        <v>3.98</v>
      </c>
      <c r="H265" s="14" t="s">
        <v>1228</v>
      </c>
      <c r="I265" s="15">
        <v>20.329999999999998</v>
      </c>
      <c r="J265" s="15">
        <f t="shared" si="9"/>
        <v>35.51</v>
      </c>
      <c r="K265" s="14" t="s">
        <v>1263</v>
      </c>
      <c r="L265" s="15">
        <v>0.9</v>
      </c>
      <c r="M265" s="15">
        <f t="shared" si="8"/>
        <v>36.409999999999997</v>
      </c>
      <c r="N265" s="14" t="str">
        <f>VLOOKUP(A265,[2]Sheet1!$B$4:$F$352,3,0)</f>
        <v>CHS3L</v>
      </c>
      <c r="O265" s="16">
        <f>VLOOKUP(A265,[2]Sheet1!$B$4:$F$352,4,0)</f>
        <v>2</v>
      </c>
      <c r="P265" s="16"/>
      <c r="Q265" s="16">
        <f>VLOOKUP(A265,[2]Sheet1!$B$4:$F$352,4,0)</f>
        <v>2</v>
      </c>
      <c r="R265" s="17">
        <f>VLOOKUP(A265,[1]Sheet1!$A$2:$F$379,3,0)</f>
        <v>8.73</v>
      </c>
      <c r="S265" s="16">
        <f>VLOOKUP(A265,[1]Sheet1!$A$2:$F$379,4,0)</f>
        <v>17.46</v>
      </c>
      <c r="T265" s="16">
        <f>VLOOKUP(A265,[1]Sheet1!$A$2:$F$379,5,0)</f>
        <v>172</v>
      </c>
      <c r="U265" s="16" t="str">
        <f>VLOOKUP(A265,[1]Sheet1!$A$2:$F$379,6,0)</f>
        <v>165-171</v>
      </c>
      <c r="V265" s="16"/>
      <c r="W265" s="16"/>
      <c r="X265" s="16"/>
      <c r="Y265" s="18" t="str">
        <f>VLOOKUP(A265,[3]Combi!$A$1:$B$304,2,0)</f>
        <v>SOP/PROD/HOSE/SPS/3/8</v>
      </c>
    </row>
    <row r="266" spans="1:25" s="18" customFormat="1" x14ac:dyDescent="0.25">
      <c r="A266" s="13" t="s">
        <v>1188</v>
      </c>
      <c r="B266" s="14" t="str">
        <f>VLOOKUP(A266,[1]Sheet1!$A$2:$F$379,2,0)</f>
        <v>44772-KK080</v>
      </c>
      <c r="C266" s="14" t="s">
        <v>806</v>
      </c>
      <c r="D266" s="14" t="s">
        <v>1224</v>
      </c>
      <c r="E266" s="15">
        <v>22.74</v>
      </c>
      <c r="F266" s="14" t="s">
        <v>1227</v>
      </c>
      <c r="G266" s="15">
        <v>8.07</v>
      </c>
      <c r="H266" s="14" t="s">
        <v>1228</v>
      </c>
      <c r="I266" s="15">
        <v>41.26</v>
      </c>
      <c r="J266" s="15">
        <f t="shared" si="9"/>
        <v>72.069999999999993</v>
      </c>
      <c r="K266" s="14" t="s">
        <v>1264</v>
      </c>
      <c r="L266" s="15">
        <v>1.83</v>
      </c>
      <c r="M266" s="15">
        <f t="shared" si="8"/>
        <v>73.899999999999991</v>
      </c>
      <c r="N266" s="14" t="str">
        <f>VLOOKUP(A266,[2]Sheet1!$B$4:$F$352,3,0)</f>
        <v>CHS3L</v>
      </c>
      <c r="O266" s="16">
        <f>VLOOKUP(A266,[2]Sheet1!$B$4:$F$352,4,0)</f>
        <v>2</v>
      </c>
      <c r="P266" s="16"/>
      <c r="Q266" s="16">
        <f>VLOOKUP(A266,[2]Sheet1!$B$4:$F$352,4,0)</f>
        <v>2</v>
      </c>
      <c r="R266" s="17">
        <f>VLOOKUP(A266,[1]Sheet1!$A$2:$F$379,3,0)</f>
        <v>8.73</v>
      </c>
      <c r="S266" s="16">
        <f>VLOOKUP(A266,[1]Sheet1!$A$2:$F$379,4,0)</f>
        <v>17.46</v>
      </c>
      <c r="T266" s="16">
        <f>VLOOKUP(A266,[1]Sheet1!$A$2:$F$379,5,0)</f>
        <v>330</v>
      </c>
      <c r="U266" s="16" t="str">
        <f>VLOOKUP(A266,[1]Sheet1!$A$2:$F$379,6,0)</f>
        <v>323-326</v>
      </c>
      <c r="V266" s="16"/>
      <c r="W266" s="16"/>
      <c r="X266" s="16"/>
      <c r="Y266" s="18" t="str">
        <f>VLOOKUP(A266,[3]Combi!$A$1:$B$304,2,0)</f>
        <v>SOP/PROD/HOSE/SPS/3/8</v>
      </c>
    </row>
    <row r="267" spans="1:25" s="18" customFormat="1" x14ac:dyDescent="0.25">
      <c r="A267" s="13" t="s">
        <v>1163</v>
      </c>
      <c r="B267" s="14" t="str">
        <f>VLOOKUP(A267,[1]Sheet1!$A$2:$F$379,2,0)</f>
        <v>44772-KK120</v>
      </c>
      <c r="C267" s="14" t="s">
        <v>745</v>
      </c>
      <c r="D267" s="14" t="s">
        <v>1224</v>
      </c>
      <c r="E267" s="15">
        <v>10.09</v>
      </c>
      <c r="F267" s="14" t="s">
        <v>1225</v>
      </c>
      <c r="G267" s="15">
        <v>8.25</v>
      </c>
      <c r="H267" s="14" t="s">
        <v>1226</v>
      </c>
      <c r="I267" s="15">
        <v>22.52</v>
      </c>
      <c r="J267" s="15">
        <f t="shared" si="9"/>
        <v>40.86</v>
      </c>
      <c r="K267" s="14" t="s">
        <v>1264</v>
      </c>
      <c r="L267" s="15">
        <v>1</v>
      </c>
      <c r="M267" s="15">
        <f t="shared" si="8"/>
        <v>41.86</v>
      </c>
      <c r="N267" s="14" t="str">
        <f>VLOOKUP(A267,[2]Sheet1!$B$4:$F$352,3,0)</f>
        <v>CHS3L</v>
      </c>
      <c r="O267" s="16">
        <f>VLOOKUP(A267,[2]Sheet1!$B$4:$F$352,4,0)</f>
        <v>2</v>
      </c>
      <c r="P267" s="16"/>
      <c r="Q267" s="16">
        <f>VLOOKUP(A267,[2]Sheet1!$B$4:$F$352,4,0)</f>
        <v>2</v>
      </c>
      <c r="R267" s="17">
        <f>VLOOKUP(A267,[1]Sheet1!$A$2:$F$379,3,0)</f>
        <v>8.73</v>
      </c>
      <c r="S267" s="16">
        <f>VLOOKUP(A267,[1]Sheet1!$A$2:$F$379,4,0)</f>
        <v>17.46</v>
      </c>
      <c r="T267" s="16">
        <f>VLOOKUP(A267,[1]Sheet1!$A$2:$F$379,5,0)</f>
        <v>198</v>
      </c>
      <c r="U267" s="16" t="str">
        <f>VLOOKUP(A267,[1]Sheet1!$A$2:$F$379,6,0)</f>
        <v>189-197</v>
      </c>
      <c r="V267" s="16"/>
      <c r="W267" s="16"/>
      <c r="X267" s="16"/>
      <c r="Y267" s="18" t="str">
        <f>VLOOKUP(A267,[3]Combi!$A$1:$B$304,2,0)</f>
        <v>SOP/PROD/HOSE/SPS/3/6</v>
      </c>
    </row>
    <row r="268" spans="1:25" s="18" customFormat="1" x14ac:dyDescent="0.25">
      <c r="A268" s="13" t="s">
        <v>1189</v>
      </c>
      <c r="B268" s="14" t="str">
        <f>VLOOKUP(A268,[1]Sheet1!$A$2:$F$379,2,0)</f>
        <v>44773-KK020</v>
      </c>
      <c r="C268" s="14" t="s">
        <v>808</v>
      </c>
      <c r="D268" s="14" t="s">
        <v>1224</v>
      </c>
      <c r="E268" s="15">
        <v>24.72</v>
      </c>
      <c r="F268" s="14" t="s">
        <v>1225</v>
      </c>
      <c r="G268" s="15">
        <v>20.21</v>
      </c>
      <c r="H268" s="14" t="s">
        <v>1226</v>
      </c>
      <c r="I268" s="15">
        <v>55.15</v>
      </c>
      <c r="J268" s="15">
        <f t="shared" si="9"/>
        <v>100.08</v>
      </c>
      <c r="K268" s="14" t="s">
        <v>1264</v>
      </c>
      <c r="L268" s="15">
        <v>2.4500000000000002</v>
      </c>
      <c r="M268" s="15">
        <f t="shared" si="8"/>
        <v>102.53</v>
      </c>
      <c r="N268" s="14" t="str">
        <f>VLOOKUP(A268,[2]Sheet1!$B$4:$F$352,3,0)</f>
        <v>CHS3L</v>
      </c>
      <c r="O268" s="16">
        <f>VLOOKUP(A268,[2]Sheet1!$B$4:$F$352,4,0)</f>
        <v>2</v>
      </c>
      <c r="P268" s="16"/>
      <c r="Q268" s="16">
        <f>VLOOKUP(A268,[2]Sheet1!$B$4:$F$352,4,0)</f>
        <v>2</v>
      </c>
      <c r="R268" s="17">
        <f>VLOOKUP(A268,[1]Sheet1!$A$2:$F$379,3,0)</f>
        <v>8.73</v>
      </c>
      <c r="S268" s="16">
        <f>VLOOKUP(A268,[1]Sheet1!$A$2:$F$379,4,0)</f>
        <v>17.46</v>
      </c>
      <c r="T268" s="16">
        <f>VLOOKUP(A268,[1]Sheet1!$A$2:$F$379,5,0)</f>
        <v>458</v>
      </c>
      <c r="U268" s="16" t="str">
        <f>VLOOKUP(A268,[1]Sheet1!$A$2:$F$379,6,0)</f>
        <v>451-453</v>
      </c>
      <c r="V268" s="16"/>
      <c r="W268" s="16"/>
      <c r="X268" s="16"/>
      <c r="Y268" s="18" t="str">
        <f>VLOOKUP(A268,[3]Combi!$A$1:$B$304,2,0)</f>
        <v>SOP/PROD/HOSE/SPS/3/6</v>
      </c>
    </row>
    <row r="269" spans="1:25" s="18" customFormat="1" x14ac:dyDescent="0.25">
      <c r="A269" s="13" t="s">
        <v>1134</v>
      </c>
      <c r="B269" s="14" t="str">
        <f>VLOOKUP(A269,[1]Sheet1!$A$2:$F$379,2,0)</f>
        <v>44774-0K020</v>
      </c>
      <c r="C269" s="14" t="s">
        <v>679</v>
      </c>
      <c r="D269" s="14" t="s">
        <v>1224</v>
      </c>
      <c r="E269" s="15">
        <v>11.69</v>
      </c>
      <c r="F269" s="14" t="s">
        <v>1225</v>
      </c>
      <c r="G269" s="15">
        <v>9.56</v>
      </c>
      <c r="H269" s="14" t="s">
        <v>1226</v>
      </c>
      <c r="I269" s="15">
        <v>26.08</v>
      </c>
      <c r="J269" s="15">
        <f t="shared" si="9"/>
        <v>47.33</v>
      </c>
      <c r="K269" s="14" t="s">
        <v>1264</v>
      </c>
      <c r="L269" s="15">
        <v>1.1599999999999999</v>
      </c>
      <c r="M269" s="15">
        <f t="shared" si="8"/>
        <v>48.489999999999995</v>
      </c>
      <c r="N269" s="14" t="str">
        <f>VLOOKUP(A269,[2]Sheet1!$B$4:$F$352,3,0)</f>
        <v>CHS3L</v>
      </c>
      <c r="O269" s="16">
        <f>VLOOKUP(A269,[2]Sheet1!$B$4:$F$352,4,0)</f>
        <v>0</v>
      </c>
      <c r="P269" s="16"/>
      <c r="Q269" s="16">
        <f>VLOOKUP(A269,[2]Sheet1!$B$4:$F$352,4,0)</f>
        <v>0</v>
      </c>
      <c r="R269" s="17">
        <f>VLOOKUP(A269,[1]Sheet1!$A$2:$F$379,3,0)</f>
        <v>8.73</v>
      </c>
      <c r="S269" s="16">
        <f>VLOOKUP(A269,[1]Sheet1!$A$2:$F$379,4,0)</f>
        <v>17.46</v>
      </c>
      <c r="T269" s="16">
        <f>VLOOKUP(A269,[1]Sheet1!$A$2:$F$379,5,0)</f>
        <v>229</v>
      </c>
      <c r="U269" s="16" t="str">
        <f>VLOOKUP(A269,[1]Sheet1!$A$2:$F$379,6,0)</f>
        <v>224-226</v>
      </c>
      <c r="V269" s="16"/>
      <c r="W269" s="16"/>
      <c r="X269" s="16"/>
      <c r="Y269" s="18" t="str">
        <f>VLOOKUP(A269,[3]Combi!$A$1:$B$304,2,0)</f>
        <v>SOP/PROD/HOSE/SPS/3/6</v>
      </c>
    </row>
    <row r="270" spans="1:25" s="18" customFormat="1" x14ac:dyDescent="0.25">
      <c r="A270" s="13" t="s">
        <v>1144</v>
      </c>
      <c r="B270" s="14" t="str">
        <f>VLOOKUP(A270,[1]Sheet1!$A$2:$F$379,2,0)</f>
        <v>44774-KK010</v>
      </c>
      <c r="C270" s="14" t="s">
        <v>701</v>
      </c>
      <c r="D270" s="14" t="s">
        <v>1224</v>
      </c>
      <c r="E270" s="15">
        <v>26.63</v>
      </c>
      <c r="F270" s="14" t="s">
        <v>1225</v>
      </c>
      <c r="G270" s="15">
        <v>21.77</v>
      </c>
      <c r="H270" s="14" t="s">
        <v>1226</v>
      </c>
      <c r="I270" s="15">
        <v>59.4</v>
      </c>
      <c r="J270" s="15">
        <f t="shared" si="9"/>
        <v>107.8</v>
      </c>
      <c r="K270" s="14" t="s">
        <v>1264</v>
      </c>
      <c r="L270" s="15">
        <v>2.64</v>
      </c>
      <c r="M270" s="15">
        <f t="shared" si="8"/>
        <v>110.44</v>
      </c>
      <c r="N270" s="14" t="str">
        <f>VLOOKUP(A270,[2]Sheet1!$B$4:$F$352,3,0)</f>
        <v>CHS3L</v>
      </c>
      <c r="O270" s="16">
        <f>VLOOKUP(A270,[2]Sheet1!$B$4:$F$352,4,0)</f>
        <v>1</v>
      </c>
      <c r="P270" s="16"/>
      <c r="Q270" s="16">
        <f>VLOOKUP(A270,[2]Sheet1!$B$4:$F$352,4,0)</f>
        <v>1</v>
      </c>
      <c r="R270" s="17">
        <f>VLOOKUP(A270,[1]Sheet1!$A$2:$F$379,3,0)</f>
        <v>8.73</v>
      </c>
      <c r="S270" s="16">
        <f>VLOOKUP(A270,[1]Sheet1!$A$2:$F$379,4,0)</f>
        <v>17.46</v>
      </c>
      <c r="T270" s="16">
        <f>VLOOKUP(A270,[1]Sheet1!$A$2:$F$379,5,0)</f>
        <v>504</v>
      </c>
      <c r="U270" s="16" t="str">
        <f>VLOOKUP(A270,[1]Sheet1!$A$2:$F$379,6,0)</f>
        <v>496-498</v>
      </c>
      <c r="V270" s="16"/>
      <c r="W270" s="16"/>
      <c r="X270" s="16"/>
      <c r="Y270" s="18" t="str">
        <f>VLOOKUP(A270,[3]Combi!$A$1:$B$304,2,0)</f>
        <v>SOP/PROD/HOSE/SPS/3/6</v>
      </c>
    </row>
    <row r="271" spans="1:25" s="18" customFormat="1" x14ac:dyDescent="0.25">
      <c r="A271" s="13" t="s">
        <v>1190</v>
      </c>
      <c r="B271" s="14" t="str">
        <f>VLOOKUP(A271,[1]Sheet1!$A$2:$F$379,2,0)</f>
        <v>44776-KK020</v>
      </c>
      <c r="C271" s="14" t="s">
        <v>810</v>
      </c>
      <c r="D271" s="14" t="s">
        <v>1224</v>
      </c>
      <c r="E271" s="15">
        <v>13.75</v>
      </c>
      <c r="F271" s="14" t="s">
        <v>1225</v>
      </c>
      <c r="G271" s="15">
        <v>11.24</v>
      </c>
      <c r="H271" s="14" t="s">
        <v>1226</v>
      </c>
      <c r="I271" s="15">
        <v>30.68</v>
      </c>
      <c r="J271" s="15">
        <f t="shared" si="9"/>
        <v>55.67</v>
      </c>
      <c r="K271" s="14" t="s">
        <v>1264</v>
      </c>
      <c r="L271" s="15">
        <v>1.36</v>
      </c>
      <c r="M271" s="15">
        <f t="shared" si="8"/>
        <v>57.03</v>
      </c>
      <c r="N271" s="14" t="str">
        <f>VLOOKUP(A271,[2]Sheet1!$B$4:$F$352,3,0)</f>
        <v>CHS3L</v>
      </c>
      <c r="O271" s="16">
        <f>VLOOKUP(A271,[2]Sheet1!$B$4:$F$352,4,0)</f>
        <v>0</v>
      </c>
      <c r="P271" s="16"/>
      <c r="Q271" s="16">
        <f>VLOOKUP(A271,[2]Sheet1!$B$4:$F$352,4,0)</f>
        <v>0</v>
      </c>
      <c r="R271" s="17">
        <f>VLOOKUP(A271,[1]Sheet1!$A$2:$F$379,3,0)</f>
        <v>8.73</v>
      </c>
      <c r="S271" s="16">
        <f>VLOOKUP(A271,[1]Sheet1!$A$2:$F$379,4,0)</f>
        <v>17.46</v>
      </c>
      <c r="T271" s="16">
        <f>VLOOKUP(A271,[1]Sheet1!$A$2:$F$379,5,0)</f>
        <v>269</v>
      </c>
      <c r="U271" s="16" t="str">
        <f>VLOOKUP(A271,[1]Sheet1!$A$2:$F$379,6,0)</f>
        <v>264-266</v>
      </c>
      <c r="V271" s="16"/>
      <c r="W271" s="16"/>
      <c r="X271" s="16"/>
      <c r="Y271" s="18" t="str">
        <f>VLOOKUP(A271,[3]Combi!$A$1:$B$304,2,0)</f>
        <v>SOP/PROD/HOSE/SPS/3/6</v>
      </c>
    </row>
    <row r="272" spans="1:25" s="18" customFormat="1" x14ac:dyDescent="0.25">
      <c r="A272" s="13" t="s">
        <v>1181</v>
      </c>
      <c r="B272" s="14" t="str">
        <f>VLOOKUP(A272,[1]Sheet1!$A$2:$F$379,2,0)</f>
        <v>16261-0Y030</v>
      </c>
      <c r="C272" s="14" t="s">
        <v>784</v>
      </c>
      <c r="D272" s="14" t="s">
        <v>1236</v>
      </c>
      <c r="E272" s="15">
        <v>102.7</v>
      </c>
      <c r="F272" s="14"/>
      <c r="G272" s="14"/>
      <c r="H272" s="14"/>
      <c r="I272" s="14"/>
      <c r="J272" s="15">
        <f t="shared" si="9"/>
        <v>102.7</v>
      </c>
      <c r="K272" s="14" t="s">
        <v>1265</v>
      </c>
      <c r="L272" s="15">
        <v>4.9000000000000004</v>
      </c>
      <c r="M272" s="15">
        <f t="shared" si="8"/>
        <v>107.60000000000001</v>
      </c>
      <c r="N272" s="14" t="str">
        <f>VLOOKUP(A272,[2]Sheet1!$B$4:$F$352,3,0)</f>
        <v>CHS2L</v>
      </c>
      <c r="O272" s="16">
        <f>VLOOKUP(A272,[2]Sheet1!$B$4:$F$352,4,0)</f>
        <v>7</v>
      </c>
      <c r="P272" s="16"/>
      <c r="Q272" s="16">
        <f>VLOOKUP(A272,[2]Sheet1!$B$4:$F$352,4,0)</f>
        <v>7</v>
      </c>
      <c r="R272" s="17">
        <f>VLOOKUP(A272,[1]Sheet1!$A$2:$F$379,3,0)</f>
        <v>21</v>
      </c>
      <c r="S272" s="16">
        <f>VLOOKUP(A272,[1]Sheet1!$A$2:$F$379,4,0)</f>
        <v>29</v>
      </c>
      <c r="T272" s="16">
        <f>VLOOKUP(A272,[1]Sheet1!$A$2:$F$379,5,0)</f>
        <v>290</v>
      </c>
      <c r="U272" s="16" t="str">
        <f>VLOOKUP(A272,[1]Sheet1!$A$2:$F$379,6,0)</f>
        <v>289±1</v>
      </c>
      <c r="V272" s="16"/>
      <c r="W272" s="16"/>
      <c r="X272" s="16"/>
      <c r="Y272" s="18" t="str">
        <f>VLOOKUP(A272,[3]Combi!$A$1:$B$304,2,0)</f>
        <v>SOP/PROD/HOSE/SPS/2/6</v>
      </c>
    </row>
    <row r="273" spans="1:25" s="18" customFormat="1" x14ac:dyDescent="0.25">
      <c r="A273" s="13" t="s">
        <v>1141</v>
      </c>
      <c r="B273" s="14" t="str">
        <f>VLOOKUP(A273,[1]Sheet1!$A$2:$F$379,2,0)</f>
        <v>16264-0Y080</v>
      </c>
      <c r="C273" s="14" t="s">
        <v>693</v>
      </c>
      <c r="D273" s="14" t="s">
        <v>1236</v>
      </c>
      <c r="E273" s="15">
        <v>25.06</v>
      </c>
      <c r="F273" s="14"/>
      <c r="G273" s="14"/>
      <c r="H273" s="14"/>
      <c r="I273" s="14"/>
      <c r="J273" s="15">
        <f t="shared" si="9"/>
        <v>25.06</v>
      </c>
      <c r="K273" s="14" t="s">
        <v>1268</v>
      </c>
      <c r="L273" s="15">
        <v>0.57999999999999996</v>
      </c>
      <c r="M273" s="15">
        <f t="shared" si="8"/>
        <v>25.639999999999997</v>
      </c>
      <c r="N273" s="14" t="str">
        <f>VLOOKUP(A273,[2]Sheet1!$B$4:$F$352,3,0)</f>
        <v>CHS2L</v>
      </c>
      <c r="O273" s="16">
        <f>VLOOKUP(A273,[2]Sheet1!$B$4:$F$352,4,0)</f>
        <v>7</v>
      </c>
      <c r="P273" s="16"/>
      <c r="Q273" s="16">
        <f>VLOOKUP(A273,[2]Sheet1!$B$4:$F$352,4,0)</f>
        <v>7</v>
      </c>
      <c r="R273" s="17">
        <f>VLOOKUP(A273,[1]Sheet1!$A$2:$F$379,3,0)</f>
        <v>7.5</v>
      </c>
      <c r="S273" s="16">
        <f>VLOOKUP(A273,[1]Sheet1!$A$2:$F$379,4,0)</f>
        <v>14.5</v>
      </c>
      <c r="T273" s="16">
        <f>VLOOKUP(A273,[1]Sheet1!$A$2:$F$379,5,0)</f>
        <v>207</v>
      </c>
      <c r="U273" s="16" t="str">
        <f>VLOOKUP(A273,[1]Sheet1!$A$2:$F$379,6,0)</f>
        <v>202±2</v>
      </c>
      <c r="V273" s="16"/>
      <c r="W273" s="16"/>
      <c r="X273" s="16"/>
      <c r="Y273" s="18" t="str">
        <f>VLOOKUP(A273,[3]Combi!$A$1:$B$304,2,0)</f>
        <v>SOP/PROD/HOSE/SPS/2/12</v>
      </c>
    </row>
    <row r="274" spans="1:25" s="18" customFormat="1" x14ac:dyDescent="0.25">
      <c r="A274" s="13" t="s">
        <v>1182</v>
      </c>
      <c r="B274" s="14" t="str">
        <f>VLOOKUP(A274,[1]Sheet1!$A$2:$F$379,2,0)</f>
        <v>16267-0Y030</v>
      </c>
      <c r="C274" s="14" t="s">
        <v>786</v>
      </c>
      <c r="D274" s="14" t="s">
        <v>1236</v>
      </c>
      <c r="E274" s="15">
        <v>62.09</v>
      </c>
      <c r="F274" s="14"/>
      <c r="G274" s="14"/>
      <c r="H274" s="14"/>
      <c r="I274" s="14"/>
      <c r="J274" s="15">
        <f t="shared" si="9"/>
        <v>62.09</v>
      </c>
      <c r="K274" s="14" t="s">
        <v>1268</v>
      </c>
      <c r="L274" s="15">
        <v>1.43</v>
      </c>
      <c r="M274" s="15">
        <f t="shared" si="8"/>
        <v>63.52</v>
      </c>
      <c r="N274" s="14" t="e">
        <f>VLOOKUP(A274,[2]Sheet1!$B$4:$F$352,3,0)</f>
        <v>#N/A</v>
      </c>
      <c r="O274" s="16" t="e">
        <f>VLOOKUP(A274,[2]Sheet1!$B$4:$F$352,4,0)</f>
        <v>#N/A</v>
      </c>
      <c r="P274" s="16"/>
      <c r="Q274" s="16" t="e">
        <f>VLOOKUP(A274,[2]Sheet1!$B$4:$F$352,4,0)</f>
        <v>#N/A</v>
      </c>
      <c r="R274" s="17">
        <f>VLOOKUP(A274,[1]Sheet1!$A$2:$F$379,3,0)</f>
        <v>7.5</v>
      </c>
      <c r="S274" s="16">
        <f>VLOOKUP(A274,[1]Sheet1!$A$2:$F$379,4,0)</f>
        <v>14.5</v>
      </c>
      <c r="T274" s="16">
        <f>VLOOKUP(A274,[1]Sheet1!$A$2:$F$379,5,0)</f>
        <v>478</v>
      </c>
      <c r="U274" s="16"/>
      <c r="V274" s="16"/>
      <c r="W274" s="16"/>
      <c r="X274" s="16"/>
      <c r="Y274" s="18" t="str">
        <f>VLOOKUP(A274,[3]Combi!$A$1:$B$304,2,0)</f>
        <v>SOP/PROD/HOSE/SPS/2/12</v>
      </c>
    </row>
    <row r="275" spans="1:25" s="18" customFormat="1" x14ac:dyDescent="0.25">
      <c r="A275" s="13" t="s">
        <v>1085</v>
      </c>
      <c r="B275" s="14" t="str">
        <f>VLOOKUP(A275,[1]Sheet1!$A$2:$F$379,2,0)</f>
        <v>GH319-46840-A</v>
      </c>
      <c r="C275" s="14" t="s">
        <v>535</v>
      </c>
      <c r="D275" s="14" t="s">
        <v>1257</v>
      </c>
      <c r="E275" s="15">
        <v>28.88</v>
      </c>
      <c r="F275" s="14" t="s">
        <v>1258</v>
      </c>
      <c r="G275" s="15">
        <v>5.76</v>
      </c>
      <c r="H275" s="14"/>
      <c r="I275" s="14"/>
      <c r="J275" s="15">
        <f t="shared" si="9"/>
        <v>34.64</v>
      </c>
      <c r="K275" s="14"/>
      <c r="L275" s="14"/>
      <c r="M275" s="15">
        <f t="shared" si="8"/>
        <v>34.64</v>
      </c>
      <c r="N275" s="14" t="str">
        <f>VLOOKUP(A275,[2]Sheet1!$B$4:$F$352,3,0)</f>
        <v>DL1</v>
      </c>
      <c r="O275" s="16">
        <f>VLOOKUP(A275,[2]Sheet1!$B$4:$F$352,4,0)</f>
        <v>5</v>
      </c>
      <c r="P275" s="16"/>
      <c r="Q275" s="16">
        <f>VLOOKUP(A275,[2]Sheet1!$B$4:$F$352,4,0)</f>
        <v>5</v>
      </c>
      <c r="R275" s="17">
        <f>VLOOKUP(A275,[1]Sheet1!$A$2:$F$379,3,0)</f>
        <v>13.5</v>
      </c>
      <c r="S275" s="16">
        <f>VLOOKUP(A275,[1]Sheet1!$A$2:$F$379,4,0)</f>
        <v>21.5</v>
      </c>
      <c r="T275" s="16" t="str">
        <f>VLOOKUP(A275,[1]Sheet1!$A$2:$F$379,5,0)</f>
        <v>138±2</v>
      </c>
      <c r="U275" s="16">
        <f>VLOOKUP(A275,[1]Sheet1!$A$2:$F$379,6,0)</f>
        <v>0</v>
      </c>
      <c r="V275" s="16"/>
      <c r="W275" s="16"/>
      <c r="X275" s="16"/>
      <c r="Y275" s="18" t="str">
        <f>VLOOKUP(A275,[3]Combi!$A$1:$B$304,2,0)</f>
        <v>SOP/PROD/HOSE/SPS/1/15</v>
      </c>
    </row>
    <row r="276" spans="1:25" s="18" customFormat="1" x14ac:dyDescent="0.25">
      <c r="A276" s="13" t="s">
        <v>1085</v>
      </c>
      <c r="B276" s="14" t="str">
        <f>VLOOKUP(A276,[1]Sheet1!$A$2:$F$379,2,0)</f>
        <v>GH319-46840-A</v>
      </c>
      <c r="C276" s="14" t="s">
        <v>798</v>
      </c>
      <c r="D276" s="14" t="s">
        <v>1231</v>
      </c>
      <c r="E276" s="15">
        <v>34.6</v>
      </c>
      <c r="F276" s="14" t="s">
        <v>1232</v>
      </c>
      <c r="G276" s="15">
        <v>18.7</v>
      </c>
      <c r="H276" s="14" t="s">
        <v>1233</v>
      </c>
      <c r="I276" s="15">
        <v>74.5</v>
      </c>
      <c r="J276" s="15">
        <f t="shared" si="9"/>
        <v>127.8</v>
      </c>
      <c r="K276" s="14" t="s">
        <v>1263</v>
      </c>
      <c r="L276" s="15">
        <v>3.27</v>
      </c>
      <c r="M276" s="15">
        <f t="shared" si="8"/>
        <v>131.07</v>
      </c>
      <c r="N276" s="14" t="str">
        <f>VLOOKUP(A276,[2]Sheet1!$B$4:$F$352,3,0)</f>
        <v>DL1</v>
      </c>
      <c r="O276" s="16">
        <f>VLOOKUP(A276,[2]Sheet1!$B$4:$F$352,4,0)</f>
        <v>5</v>
      </c>
      <c r="P276" s="16"/>
      <c r="Q276" s="16">
        <f>VLOOKUP(A276,[2]Sheet1!$B$4:$F$352,4,0)</f>
        <v>5</v>
      </c>
      <c r="R276" s="17">
        <f>VLOOKUP(A276,[1]Sheet1!$A$2:$F$379,3,0)</f>
        <v>13.5</v>
      </c>
      <c r="S276" s="16">
        <f>VLOOKUP(A276,[1]Sheet1!$A$2:$F$379,4,0)</f>
        <v>21.5</v>
      </c>
      <c r="T276" s="16" t="str">
        <f>VLOOKUP(A276,[1]Sheet1!$A$2:$F$379,5,0)</f>
        <v>138±2</v>
      </c>
      <c r="U276" s="16">
        <f>VLOOKUP(A276,[1]Sheet1!$A$2:$F$379,6,0)</f>
        <v>0</v>
      </c>
      <c r="V276" s="16"/>
      <c r="W276" s="16"/>
      <c r="X276" s="16"/>
      <c r="Y276" s="18" t="str">
        <f>VLOOKUP(A276,[3]Combi!$A$1:$B$304,2,0)</f>
        <v>SOP/PROD/HOSE/SPS/1/15</v>
      </c>
    </row>
    <row r="277" spans="1:25" s="18" customFormat="1" x14ac:dyDescent="0.25">
      <c r="A277" s="13" t="s">
        <v>1085</v>
      </c>
      <c r="B277" s="14" t="str">
        <f>VLOOKUP(A277,[1]Sheet1!$A$2:$F$379,2,0)</f>
        <v>GH319-46840-A</v>
      </c>
      <c r="C277" s="14" t="s">
        <v>798</v>
      </c>
      <c r="D277" s="14" t="s">
        <v>1248</v>
      </c>
      <c r="E277" s="15">
        <v>30.6</v>
      </c>
      <c r="F277" s="14" t="s">
        <v>1232</v>
      </c>
      <c r="G277" s="15">
        <v>18.7</v>
      </c>
      <c r="H277" s="14" t="s">
        <v>1233</v>
      </c>
      <c r="I277" s="15">
        <v>74.5</v>
      </c>
      <c r="J277" s="15">
        <f t="shared" si="9"/>
        <v>123.8</v>
      </c>
      <c r="K277" s="14" t="s">
        <v>1263</v>
      </c>
      <c r="L277" s="15">
        <v>3.27</v>
      </c>
      <c r="M277" s="15">
        <f t="shared" si="8"/>
        <v>127.07</v>
      </c>
      <c r="N277" s="14" t="str">
        <f>VLOOKUP(A277,[2]Sheet1!$B$4:$F$352,3,0)</f>
        <v>DL1</v>
      </c>
      <c r="O277" s="16">
        <f>VLOOKUP(A277,[2]Sheet1!$B$4:$F$352,4,0)</f>
        <v>5</v>
      </c>
      <c r="P277" s="16"/>
      <c r="Q277" s="16">
        <f>VLOOKUP(A277,[2]Sheet1!$B$4:$F$352,4,0)</f>
        <v>5</v>
      </c>
      <c r="R277" s="17">
        <f>VLOOKUP(A277,[1]Sheet1!$A$2:$F$379,3,0)</f>
        <v>13.5</v>
      </c>
      <c r="S277" s="16">
        <f>VLOOKUP(A277,[1]Sheet1!$A$2:$F$379,4,0)</f>
        <v>21.5</v>
      </c>
      <c r="T277" s="16" t="str">
        <f>VLOOKUP(A277,[1]Sheet1!$A$2:$F$379,5,0)</f>
        <v>138±2</v>
      </c>
      <c r="U277" s="16">
        <f>VLOOKUP(A277,[1]Sheet1!$A$2:$F$379,6,0)</f>
        <v>0</v>
      </c>
      <c r="V277" s="16"/>
      <c r="W277" s="16"/>
      <c r="X277" s="16"/>
      <c r="Y277" s="18" t="str">
        <f>VLOOKUP(A277,[3]Combi!$A$1:$B$304,2,0)</f>
        <v>SOP/PROD/HOSE/SPS/1/15</v>
      </c>
    </row>
    <row r="278" spans="1:25" s="18" customFormat="1" x14ac:dyDescent="0.25">
      <c r="A278" s="13" t="s">
        <v>1089</v>
      </c>
      <c r="B278" s="14" t="str">
        <f>VLOOKUP(A278,[1]Sheet1!$A$2:$F$379,2,0)</f>
        <v>GH319-47110</v>
      </c>
      <c r="C278" s="14" t="s">
        <v>545</v>
      </c>
      <c r="D278" s="14" t="s">
        <v>1229</v>
      </c>
      <c r="E278" s="15">
        <v>20</v>
      </c>
      <c r="F278" s="14" t="s">
        <v>1230</v>
      </c>
      <c r="G278" s="15">
        <v>5</v>
      </c>
      <c r="H278" s="14"/>
      <c r="I278" s="14"/>
      <c r="J278" s="15">
        <f t="shared" si="9"/>
        <v>25</v>
      </c>
      <c r="K278" s="14"/>
      <c r="L278" s="14"/>
      <c r="M278" s="15">
        <f t="shared" si="8"/>
        <v>25</v>
      </c>
      <c r="N278" s="14" t="str">
        <f>VLOOKUP(A278,[2]Sheet1!$B$4:$F$352,3,0)</f>
        <v>DL1</v>
      </c>
      <c r="O278" s="16">
        <f>VLOOKUP(A278,[2]Sheet1!$B$4:$F$352,4,0)</f>
        <v>7</v>
      </c>
      <c r="P278" s="16"/>
      <c r="Q278" s="16">
        <f>VLOOKUP(A278,[2]Sheet1!$B$4:$F$352,4,0)</f>
        <v>7</v>
      </c>
      <c r="R278" s="17">
        <f>VLOOKUP(A278,[1]Sheet1!$A$2:$F$379,3,0)</f>
        <v>7</v>
      </c>
      <c r="S278" s="16">
        <f>VLOOKUP(A278,[1]Sheet1!$A$2:$F$379,4,0)</f>
        <v>14</v>
      </c>
      <c r="T278" s="16" t="str">
        <f>VLOOKUP(A278,[1]Sheet1!$A$2:$F$379,5,0)</f>
        <v>143±2</v>
      </c>
      <c r="U278" s="16" t="str">
        <f>VLOOKUP(A278,[1]Sheet1!$A$2:$F$379,6,0)</f>
        <v>123-128</v>
      </c>
      <c r="V278" s="16"/>
      <c r="W278" s="16"/>
      <c r="X278" s="16"/>
      <c r="Y278" s="18" t="str">
        <f>VLOOKUP(A278,[3]Combi!$A$1:$B$304,2,0)</f>
        <v>SOP/PROD/HOSE/SPS/1/7</v>
      </c>
    </row>
    <row r="279" spans="1:25" s="18" customFormat="1" x14ac:dyDescent="0.25">
      <c r="A279" s="13" t="s">
        <v>911</v>
      </c>
      <c r="B279" s="14" t="str">
        <f>VLOOKUP(A279,[1]Sheet1!$A$2:$F$379,2,0)</f>
        <v>23274-0C100</v>
      </c>
      <c r="C279" s="14" t="s">
        <v>91</v>
      </c>
      <c r="D279" s="14" t="s">
        <v>1231</v>
      </c>
      <c r="E279" s="15">
        <v>8.0299999999999994</v>
      </c>
      <c r="F279" s="14" t="s">
        <v>1232</v>
      </c>
      <c r="G279" s="15">
        <v>21.62</v>
      </c>
      <c r="H279" s="14" t="s">
        <v>1233</v>
      </c>
      <c r="I279" s="15">
        <v>34.85</v>
      </c>
      <c r="J279" s="15">
        <f t="shared" si="9"/>
        <v>64.5</v>
      </c>
      <c r="K279" s="14" t="s">
        <v>1263</v>
      </c>
      <c r="L279" s="15">
        <v>3.3</v>
      </c>
      <c r="M279" s="15">
        <f t="shared" si="8"/>
        <v>67.8</v>
      </c>
      <c r="N279" s="14" t="str">
        <f>VLOOKUP(A279,[2]Sheet1!$B$4:$F$352,3,0)</f>
        <v>CHS3L</v>
      </c>
      <c r="O279" s="16">
        <f>VLOOKUP(A279,[2]Sheet1!$B$4:$F$352,4,0)</f>
        <v>1</v>
      </c>
      <c r="P279" s="16"/>
      <c r="Q279" s="16">
        <f>VLOOKUP(A279,[2]Sheet1!$B$4:$F$352,4,0)</f>
        <v>1</v>
      </c>
      <c r="R279" s="17">
        <f>VLOOKUP(A279,[1]Sheet1!$A$2:$F$379,3,0)</f>
        <v>7.6</v>
      </c>
      <c r="S279" s="16">
        <f>VLOOKUP(A279,[1]Sheet1!$A$2:$F$379,4,0)</f>
        <v>14</v>
      </c>
      <c r="T279" s="16">
        <f>VLOOKUP(A279,[1]Sheet1!$A$2:$F$379,5,0)</f>
        <v>477</v>
      </c>
      <c r="U279" s="16" t="str">
        <f>VLOOKUP(A279,[1]Sheet1!$A$2:$F$379,6,0)</f>
        <v>460±2</v>
      </c>
      <c r="V279" s="16"/>
      <c r="W279" s="16"/>
      <c r="X279" s="16"/>
      <c r="Y279" s="18" t="str">
        <f>VLOOKUP(A279,[3]Combi!$A$1:$B$304,2,0)</f>
        <v>SOP/PROD/HOSE/SPS/3/3</v>
      </c>
    </row>
    <row r="280" spans="1:25" s="18" customFormat="1" x14ac:dyDescent="0.25">
      <c r="A280" s="13" t="s">
        <v>911</v>
      </c>
      <c r="B280" s="14" t="str">
        <f>VLOOKUP(A280,[1]Sheet1!$A$2:$F$379,2,0)</f>
        <v>23274-0C100</v>
      </c>
      <c r="C280" s="14" t="s">
        <v>91</v>
      </c>
      <c r="D280" s="14" t="s">
        <v>1221</v>
      </c>
      <c r="E280" s="15">
        <v>9.06</v>
      </c>
      <c r="F280" s="14" t="s">
        <v>1222</v>
      </c>
      <c r="G280" s="15">
        <v>25.39</v>
      </c>
      <c r="H280" s="14" t="s">
        <v>1223</v>
      </c>
      <c r="I280" s="15">
        <v>25.44</v>
      </c>
      <c r="J280" s="15">
        <f t="shared" si="9"/>
        <v>59.89</v>
      </c>
      <c r="K280" s="14" t="s">
        <v>1263</v>
      </c>
      <c r="L280" s="15">
        <v>3.26</v>
      </c>
      <c r="M280" s="15">
        <f t="shared" si="8"/>
        <v>63.150000000000006</v>
      </c>
      <c r="N280" s="14" t="str">
        <f>VLOOKUP(A280,[2]Sheet1!$B$4:$F$352,3,0)</f>
        <v>CHS3L</v>
      </c>
      <c r="O280" s="16">
        <f>VLOOKUP(A280,[2]Sheet1!$B$4:$F$352,4,0)</f>
        <v>1</v>
      </c>
      <c r="P280" s="16"/>
      <c r="Q280" s="16">
        <f>VLOOKUP(A280,[2]Sheet1!$B$4:$F$352,4,0)</f>
        <v>1</v>
      </c>
      <c r="R280" s="17">
        <f>VLOOKUP(A280,[1]Sheet1!$A$2:$F$379,3,0)</f>
        <v>7.6</v>
      </c>
      <c r="S280" s="16">
        <f>VLOOKUP(A280,[1]Sheet1!$A$2:$F$379,4,0)</f>
        <v>14</v>
      </c>
      <c r="T280" s="16">
        <f>VLOOKUP(A280,[1]Sheet1!$A$2:$F$379,5,0)</f>
        <v>477</v>
      </c>
      <c r="U280" s="16" t="str">
        <f>VLOOKUP(A280,[1]Sheet1!$A$2:$F$379,6,0)</f>
        <v>460±2</v>
      </c>
      <c r="V280" s="16"/>
      <c r="W280" s="16"/>
      <c r="X280" s="16"/>
      <c r="Y280" s="18" t="str">
        <f>VLOOKUP(A280,[3]Combi!$A$1:$B$304,2,0)</f>
        <v>SOP/PROD/HOSE/SPS/3/3</v>
      </c>
    </row>
    <row r="281" spans="1:25" s="18" customFormat="1" x14ac:dyDescent="0.25">
      <c r="A281" s="13" t="s">
        <v>918</v>
      </c>
      <c r="B281" s="14" t="str">
        <f>VLOOKUP(A281,[1]Sheet1!$A$2:$F$379,2,0)</f>
        <v>77259-KK060(1)</v>
      </c>
      <c r="C281" s="14" t="s">
        <v>111</v>
      </c>
      <c r="D281" s="14" t="s">
        <v>1221</v>
      </c>
      <c r="E281" s="15">
        <v>16.86</v>
      </c>
      <c r="F281" s="14" t="s">
        <v>1222</v>
      </c>
      <c r="G281" s="15">
        <v>15.24</v>
      </c>
      <c r="H281" s="14" t="s">
        <v>1223</v>
      </c>
      <c r="I281" s="15">
        <v>33.6</v>
      </c>
      <c r="J281" s="15">
        <f t="shared" si="9"/>
        <v>65.7</v>
      </c>
      <c r="K281" s="14" t="s">
        <v>1263</v>
      </c>
      <c r="L281" s="15">
        <v>3.05</v>
      </c>
      <c r="M281" s="15">
        <f t="shared" si="8"/>
        <v>68.75</v>
      </c>
      <c r="N281" s="14" t="str">
        <f>VLOOKUP(A281,[2]Sheet1!$B$4:$F$352,3,0)</f>
        <v>CHS3L</v>
      </c>
      <c r="O281" s="16">
        <f>VLOOKUP(A281,[2]Sheet1!$B$4:$F$352,4,0)</f>
        <v>1</v>
      </c>
      <c r="P281" s="16"/>
      <c r="Q281" s="16">
        <f>VLOOKUP(A281,[2]Sheet1!$B$4:$F$352,4,0)</f>
        <v>1</v>
      </c>
      <c r="R281" s="17">
        <f>VLOOKUP(A281,[1]Sheet1!$A$2:$F$379,3,0)</f>
        <v>9.5</v>
      </c>
      <c r="S281" s="16">
        <f>VLOOKUP(A281,[1]Sheet1!$A$2:$F$379,4,0)</f>
        <v>16.5</v>
      </c>
      <c r="T281" s="16">
        <f>VLOOKUP(A281,[1]Sheet1!$A$2:$F$379,5,0)</f>
        <v>439</v>
      </c>
      <c r="U281" s="16" t="str">
        <f>VLOOKUP(A281,[1]Sheet1!$A$2:$F$379,6,0)</f>
        <v>428±4</v>
      </c>
      <c r="V281" s="16"/>
      <c r="W281" s="16"/>
      <c r="X281" s="16"/>
      <c r="Y281" s="18" t="str">
        <f>VLOOKUP(A281,[3]Combi!$A$1:$B$304,2,0)</f>
        <v>SOP/PROD/HOSE/SPS/3/10</v>
      </c>
    </row>
    <row r="282" spans="1:25" s="18" customFormat="1" x14ac:dyDescent="0.25">
      <c r="A282" s="13" t="s">
        <v>905</v>
      </c>
      <c r="B282" s="14" t="str">
        <f>VLOOKUP(A282,[1]Sheet1!$A$2:$F$379,2,0)</f>
        <v>77259-KK060(2)</v>
      </c>
      <c r="C282" s="14" t="s">
        <v>72</v>
      </c>
      <c r="D282" s="14" t="s">
        <v>1221</v>
      </c>
      <c r="E282" s="15">
        <v>8.93</v>
      </c>
      <c r="F282" s="14" t="s">
        <v>1222</v>
      </c>
      <c r="G282" s="15">
        <v>8.07</v>
      </c>
      <c r="H282" s="14" t="s">
        <v>1223</v>
      </c>
      <c r="I282" s="15">
        <v>17.8</v>
      </c>
      <c r="J282" s="15">
        <f t="shared" si="9"/>
        <v>34.799999999999997</v>
      </c>
      <c r="K282" s="14" t="s">
        <v>1263</v>
      </c>
      <c r="L282" s="15">
        <v>1.62</v>
      </c>
      <c r="M282" s="15">
        <f t="shared" si="8"/>
        <v>36.42</v>
      </c>
      <c r="N282" s="14" t="str">
        <f>VLOOKUP(A282,[2]Sheet1!$B$4:$F$352,3,0)</f>
        <v>CHS3L</v>
      </c>
      <c r="O282" s="16">
        <f>VLOOKUP(A282,[2]Sheet1!$B$4:$F$352,4,0)</f>
        <v>1</v>
      </c>
      <c r="P282" s="16"/>
      <c r="Q282" s="16">
        <f>VLOOKUP(A282,[2]Sheet1!$B$4:$F$352,4,0)</f>
        <v>1</v>
      </c>
      <c r="R282" s="17">
        <f>VLOOKUP(A282,[1]Sheet1!$A$2:$F$379,3,0)</f>
        <v>9.5</v>
      </c>
      <c r="S282" s="16">
        <f>VLOOKUP(A282,[1]Sheet1!$A$2:$F$379,4,0)</f>
        <v>16.5</v>
      </c>
      <c r="T282" s="16">
        <f>VLOOKUP(A282,[1]Sheet1!$A$2:$F$379,5,0)</f>
        <v>234</v>
      </c>
      <c r="U282" s="16" t="str">
        <f>VLOOKUP(A282,[1]Sheet1!$A$2:$F$379,6,0)</f>
        <v>227±2</v>
      </c>
      <c r="V282" s="16"/>
      <c r="W282" s="16"/>
      <c r="X282" s="16"/>
      <c r="Y282" s="18" t="str">
        <f>VLOOKUP(A282,[3]Combi!$A$1:$B$304,2,0)</f>
        <v>SOP/PROD/HOSE/SPS/3/10</v>
      </c>
    </row>
    <row r="283" spans="1:25" s="18" customFormat="1" x14ac:dyDescent="0.25">
      <c r="A283" s="13" t="s">
        <v>893</v>
      </c>
      <c r="B283" s="14" t="str">
        <f>VLOOKUP(A283,[1]Sheet1!$A$2:$F$379,2,0)</f>
        <v>77259-KK040</v>
      </c>
      <c r="C283" s="14" t="s">
        <v>24</v>
      </c>
      <c r="D283" s="14" t="s">
        <v>1221</v>
      </c>
      <c r="E283" s="15">
        <v>18.27</v>
      </c>
      <c r="F283" s="14" t="s">
        <v>1222</v>
      </c>
      <c r="G283" s="15">
        <v>18.77</v>
      </c>
      <c r="H283" s="14" t="s">
        <v>1223</v>
      </c>
      <c r="I283" s="15">
        <v>29.86</v>
      </c>
      <c r="J283" s="15">
        <f t="shared" si="9"/>
        <v>66.900000000000006</v>
      </c>
      <c r="K283" s="14" t="s">
        <v>1263</v>
      </c>
      <c r="L283" s="15">
        <v>3.14</v>
      </c>
      <c r="M283" s="15">
        <f t="shared" si="8"/>
        <v>70.039999999999992</v>
      </c>
      <c r="N283" s="14" t="str">
        <f>VLOOKUP(A283,[2]Sheet1!$B$4:$F$352,3,0)</f>
        <v>CHS3L</v>
      </c>
      <c r="O283" s="16">
        <f>VLOOKUP(A283,[2]Sheet1!$B$4:$F$352,4,0)</f>
        <v>0</v>
      </c>
      <c r="P283" s="16"/>
      <c r="Q283" s="16">
        <f>VLOOKUP(A283,[2]Sheet1!$B$4:$F$352,4,0)</f>
        <v>0</v>
      </c>
      <c r="R283" s="17">
        <f>VLOOKUP(A283,[1]Sheet1!$A$2:$F$379,3,0)</f>
        <v>9.5</v>
      </c>
      <c r="S283" s="16">
        <f>VLOOKUP(A283,[1]Sheet1!$A$2:$F$379,4,0)</f>
        <v>16.5</v>
      </c>
      <c r="T283" s="16">
        <f>VLOOKUP(A283,[1]Sheet1!$A$2:$F$379,5,0)</f>
        <v>451</v>
      </c>
      <c r="U283" s="16" t="str">
        <f>VLOOKUP(A283,[1]Sheet1!$A$2:$F$379,6,0)</f>
        <v>441±4</v>
      </c>
      <c r="V283" s="16"/>
      <c r="W283" s="16"/>
      <c r="X283" s="16"/>
      <c r="Y283" s="18" t="str">
        <f>VLOOKUP(A283,[3]Combi!$A$1:$B$304,2,0)</f>
        <v>SOP/PROD/HOSE/SPS/3/10</v>
      </c>
    </row>
    <row r="284" spans="1:25" s="18" customFormat="1" x14ac:dyDescent="0.25">
      <c r="A284" s="13" t="s">
        <v>926</v>
      </c>
      <c r="B284" s="14" t="str">
        <f>VLOOKUP(A284,[1]Sheet1!$A$2:$F$379,2,0)</f>
        <v>23274-0L060</v>
      </c>
      <c r="C284" s="14" t="s">
        <v>136</v>
      </c>
      <c r="D284" s="14" t="s">
        <v>1231</v>
      </c>
      <c r="E284" s="15">
        <v>13.2</v>
      </c>
      <c r="F284" s="14" t="s">
        <v>1232</v>
      </c>
      <c r="G284" s="15">
        <v>28.17</v>
      </c>
      <c r="H284" s="14" t="s">
        <v>1233</v>
      </c>
      <c r="I284" s="15">
        <v>32.74</v>
      </c>
      <c r="J284" s="15">
        <f t="shared" si="9"/>
        <v>74.110000000000014</v>
      </c>
      <c r="K284" s="14" t="s">
        <v>1263</v>
      </c>
      <c r="L284" s="15">
        <v>3.6</v>
      </c>
      <c r="M284" s="15">
        <f t="shared" si="8"/>
        <v>77.710000000000008</v>
      </c>
      <c r="N284" s="14" t="str">
        <f>VLOOKUP(A284,[2]Sheet1!$B$4:$F$352,3,0)</f>
        <v>CHS3L</v>
      </c>
      <c r="O284" s="16">
        <f>VLOOKUP(A284,[2]Sheet1!$B$4:$F$352,4,0)</f>
        <v>0</v>
      </c>
      <c r="P284" s="16"/>
      <c r="Q284" s="16">
        <f>VLOOKUP(A284,[2]Sheet1!$B$4:$F$352,4,0)</f>
        <v>0</v>
      </c>
      <c r="R284" s="17">
        <f>VLOOKUP(A284,[1]Sheet1!$A$2:$F$379,3,0)</f>
        <v>7.6</v>
      </c>
      <c r="S284" s="16">
        <f>VLOOKUP(A284,[1]Sheet1!$A$2:$F$379,4,0)</f>
        <v>14</v>
      </c>
      <c r="T284" s="16">
        <f>VLOOKUP(A284,[1]Sheet1!$A$2:$F$379,5,0)</f>
        <v>519</v>
      </c>
      <c r="U284" s="16" t="str">
        <f>VLOOKUP(A284,[1]Sheet1!$A$2:$F$379,6,0)</f>
        <v>501±2</v>
      </c>
      <c r="V284" s="16"/>
      <c r="W284" s="16"/>
      <c r="X284" s="16"/>
      <c r="Y284" s="18" t="str">
        <f>VLOOKUP(A284,[3]Combi!$A$1:$B$304,2,0)</f>
        <v>SOP/PROD/HOSE/SPS/3/3</v>
      </c>
    </row>
    <row r="285" spans="1:25" s="18" customFormat="1" x14ac:dyDescent="0.25">
      <c r="A285" s="13" t="s">
        <v>926</v>
      </c>
      <c r="B285" s="14" t="str">
        <f>VLOOKUP(A285,[1]Sheet1!$A$2:$F$379,2,0)</f>
        <v>23274-0L060</v>
      </c>
      <c r="C285" s="14" t="s">
        <v>136</v>
      </c>
      <c r="D285" s="14" t="s">
        <v>1248</v>
      </c>
      <c r="E285" s="15">
        <v>9.8699999999999992</v>
      </c>
      <c r="F285" s="14" t="s">
        <v>1232</v>
      </c>
      <c r="G285" s="15">
        <v>27.65</v>
      </c>
      <c r="H285" s="14" t="s">
        <v>1233</v>
      </c>
      <c r="I285" s="15">
        <v>27.7</v>
      </c>
      <c r="J285" s="15">
        <f t="shared" si="9"/>
        <v>65.22</v>
      </c>
      <c r="K285" s="14" t="s">
        <v>1263</v>
      </c>
      <c r="L285" s="15">
        <v>3.55</v>
      </c>
      <c r="M285" s="15">
        <f t="shared" si="8"/>
        <v>68.77</v>
      </c>
      <c r="N285" s="14" t="str">
        <f>VLOOKUP(A285,[2]Sheet1!$B$4:$F$352,3,0)</f>
        <v>CHS3L</v>
      </c>
      <c r="O285" s="16">
        <f>VLOOKUP(A285,[2]Sheet1!$B$4:$F$352,4,0)</f>
        <v>0</v>
      </c>
      <c r="P285" s="16"/>
      <c r="Q285" s="16">
        <f>VLOOKUP(A285,[2]Sheet1!$B$4:$F$352,4,0)</f>
        <v>0</v>
      </c>
      <c r="R285" s="17">
        <f>VLOOKUP(A285,[1]Sheet1!$A$2:$F$379,3,0)</f>
        <v>7.6</v>
      </c>
      <c r="S285" s="16">
        <f>VLOOKUP(A285,[1]Sheet1!$A$2:$F$379,4,0)</f>
        <v>14</v>
      </c>
      <c r="T285" s="16">
        <f>VLOOKUP(A285,[1]Sheet1!$A$2:$F$379,5,0)</f>
        <v>519</v>
      </c>
      <c r="U285" s="16" t="str">
        <f>VLOOKUP(A285,[1]Sheet1!$A$2:$F$379,6,0)</f>
        <v>501±2</v>
      </c>
      <c r="V285" s="16"/>
      <c r="W285" s="16"/>
      <c r="X285" s="16"/>
      <c r="Y285" s="18" t="str">
        <f>VLOOKUP(A285,[3]Combi!$A$1:$B$304,2,0)</f>
        <v>SOP/PROD/HOSE/SPS/3/3</v>
      </c>
    </row>
    <row r="286" spans="1:25" s="18" customFormat="1" x14ac:dyDescent="0.25">
      <c r="A286" s="13" t="s">
        <v>1191</v>
      </c>
      <c r="B286" s="14" t="str">
        <f>VLOOKUP(A286,[1]Sheet1!$A$2:$F$379,2,0)</f>
        <v>77249-KK020</v>
      </c>
      <c r="C286" s="14" t="s">
        <v>812</v>
      </c>
      <c r="D286" s="14" t="s">
        <v>1229</v>
      </c>
      <c r="E286" s="15">
        <v>25.88</v>
      </c>
      <c r="F286" s="14" t="s">
        <v>1230</v>
      </c>
      <c r="G286" s="15">
        <v>3.7</v>
      </c>
      <c r="H286" s="14"/>
      <c r="I286" s="14"/>
      <c r="J286" s="15">
        <f t="shared" si="9"/>
        <v>29.58</v>
      </c>
      <c r="K286" s="14"/>
      <c r="L286" s="14"/>
      <c r="M286" s="15">
        <f t="shared" si="8"/>
        <v>29.58</v>
      </c>
      <c r="N286" s="14" t="str">
        <f>VLOOKUP(A286,[2]Sheet1!$B$4:$F$352,3,0)</f>
        <v>DL1</v>
      </c>
      <c r="O286" s="16">
        <f>VLOOKUP(A286,[2]Sheet1!$B$4:$F$352,4,0)</f>
        <v>7</v>
      </c>
      <c r="P286" s="16"/>
      <c r="Q286" s="16">
        <f>VLOOKUP(A286,[2]Sheet1!$B$4:$F$352,4,0)</f>
        <v>7</v>
      </c>
      <c r="R286" s="17">
        <f>VLOOKUP(A286,[1]Sheet1!$A$2:$F$379,3,0)</f>
        <v>5.4</v>
      </c>
      <c r="S286" s="16">
        <f>VLOOKUP(A286,[1]Sheet1!$A$2:$F$379,4,0)</f>
        <v>10.4</v>
      </c>
      <c r="T286" s="16" t="str">
        <f>VLOOKUP(A286,[1]Sheet1!$A$2:$F$379,5,0)</f>
        <v>400±2</v>
      </c>
      <c r="U286" s="16">
        <f>VLOOKUP(A286,[1]Sheet1!$A$2:$F$379,6,0)</f>
        <v>0</v>
      </c>
      <c r="V286" s="16"/>
      <c r="W286" s="16"/>
      <c r="X286" s="16"/>
      <c r="Y286" s="18" t="str">
        <f>VLOOKUP(A286,[3]Combi!$A$1:$B$304,2,0)</f>
        <v>SOP/PROD/HOSE/SPS/1/4</v>
      </c>
    </row>
    <row r="287" spans="1:25" s="18" customFormat="1" x14ac:dyDescent="0.25">
      <c r="A287" s="13" t="s">
        <v>1187</v>
      </c>
      <c r="B287" s="14" t="str">
        <f>VLOOKUP(A287,[1]Sheet1!$A$2:$F$379,2,0)</f>
        <v>33019-0K180</v>
      </c>
      <c r="C287" s="14" t="s">
        <v>802</v>
      </c>
      <c r="D287" s="14" t="s">
        <v>1234</v>
      </c>
      <c r="E287" s="15">
        <v>30.4</v>
      </c>
      <c r="F287" s="14"/>
      <c r="G287" s="14"/>
      <c r="H287" s="14"/>
      <c r="I287" s="14"/>
      <c r="J287" s="15">
        <f t="shared" si="9"/>
        <v>30.4</v>
      </c>
      <c r="K287" s="14"/>
      <c r="L287" s="14"/>
      <c r="M287" s="15">
        <f t="shared" si="8"/>
        <v>30.4</v>
      </c>
      <c r="N287" s="14" t="str">
        <f>VLOOKUP(A287,[2]Sheet1!$B$4:$F$352,3,0)</f>
        <v>DL1</v>
      </c>
      <c r="O287" s="16">
        <f>VLOOKUP(A287,[2]Sheet1!$B$4:$F$352,4,0)</f>
        <v>1</v>
      </c>
      <c r="P287" s="16"/>
      <c r="Q287" s="16">
        <f>VLOOKUP(A287,[2]Sheet1!$B$4:$F$352,4,0)</f>
        <v>1</v>
      </c>
      <c r="R287" s="17">
        <f>VLOOKUP(A287,[1]Sheet1!$A$2:$F$379,3,0)</f>
        <v>3.5</v>
      </c>
      <c r="S287" s="16">
        <f>VLOOKUP(A287,[1]Sheet1!$A$2:$F$379,4,0)</f>
        <v>7.5</v>
      </c>
      <c r="T287" s="16" t="str">
        <f>VLOOKUP(A287,[1]Sheet1!$A$2:$F$379,5,0)</f>
        <v>758±2</v>
      </c>
      <c r="U287" s="16">
        <f>VLOOKUP(A287,[1]Sheet1!$A$2:$F$379,6,0)</f>
        <v>0</v>
      </c>
      <c r="V287" s="16"/>
      <c r="W287" s="16"/>
      <c r="X287" s="16"/>
      <c r="Y287" s="18" t="str">
        <f>VLOOKUP(A287,[3]Combi!$A$1:$B$304,2,0)</f>
        <v>SOP/PROD/HOSE/SPS/1/2</v>
      </c>
    </row>
    <row r="288" spans="1:25" s="18" customFormat="1" x14ac:dyDescent="0.25">
      <c r="A288" s="13" t="s">
        <v>910</v>
      </c>
      <c r="B288" s="14" t="str">
        <f>VLOOKUP(A288,[1]Sheet1!$A$2:$F$379,2,0)</f>
        <v>16260-0Y080-1</v>
      </c>
      <c r="C288" s="14" t="s">
        <v>87</v>
      </c>
      <c r="D288" s="14" t="s">
        <v>1236</v>
      </c>
      <c r="E288" s="15">
        <v>42.73</v>
      </c>
      <c r="F288" s="14"/>
      <c r="G288" s="14"/>
      <c r="H288" s="14"/>
      <c r="I288" s="14"/>
      <c r="J288" s="15">
        <f t="shared" si="9"/>
        <v>42.73</v>
      </c>
      <c r="K288" s="14" t="s">
        <v>1265</v>
      </c>
      <c r="L288" s="15">
        <v>1.5</v>
      </c>
      <c r="M288" s="15">
        <f t="shared" si="8"/>
        <v>44.23</v>
      </c>
      <c r="N288" s="14" t="str">
        <f>VLOOKUP(A288,[2]Sheet1!$B$4:$F$352,3,0)</f>
        <v>CHS2L</v>
      </c>
      <c r="O288" s="16">
        <f>VLOOKUP(A288,[2]Sheet1!$B$4:$F$352,4,0)</f>
        <v>0</v>
      </c>
      <c r="P288" s="16"/>
      <c r="Q288" s="16">
        <f>VLOOKUP(A288,[2]Sheet1!$B$4:$F$352,4,0)</f>
        <v>0</v>
      </c>
      <c r="R288" s="17">
        <f>VLOOKUP(A288,[1]Sheet1!$A$2:$F$379,3,0)</f>
        <v>13</v>
      </c>
      <c r="S288" s="16">
        <f>VLOOKUP(A288,[1]Sheet1!$A$2:$F$379,4,0)</f>
        <v>21</v>
      </c>
      <c r="T288" s="16">
        <f>VLOOKUP(A288,[1]Sheet1!$A$2:$F$379,5,0)</f>
        <v>191</v>
      </c>
      <c r="U288" s="16" t="str">
        <f>VLOOKUP(A288,[1]Sheet1!$A$2:$F$379,6,0)</f>
        <v>187±1</v>
      </c>
      <c r="V288" s="16"/>
      <c r="W288" s="16"/>
      <c r="X288" s="16"/>
      <c r="Y288" s="18" t="str">
        <f>VLOOKUP(A288,[3]Combi!$A$1:$B$304,2,0)</f>
        <v>SOP/PROD/HOSE/SPS/2/10</v>
      </c>
    </row>
    <row r="289" spans="1:26" s="18" customFormat="1" x14ac:dyDescent="0.25">
      <c r="A289" s="13" t="s">
        <v>932</v>
      </c>
      <c r="B289" s="14" t="str">
        <f>VLOOKUP(A289,[1]Sheet1!$A$2:$F$379,2,0)</f>
        <v>16260-0Y080-2</v>
      </c>
      <c r="C289" s="14" t="s">
        <v>148</v>
      </c>
      <c r="D289" s="14" t="s">
        <v>1236</v>
      </c>
      <c r="E289" s="15">
        <v>48.87</v>
      </c>
      <c r="F289" s="14"/>
      <c r="G289" s="14"/>
      <c r="H289" s="14"/>
      <c r="I289" s="14"/>
      <c r="J289" s="15">
        <f t="shared" si="9"/>
        <v>48.87</v>
      </c>
      <c r="K289" s="14" t="s">
        <v>1265</v>
      </c>
      <c r="L289" s="15">
        <v>1.7</v>
      </c>
      <c r="M289" s="15">
        <f t="shared" si="8"/>
        <v>50.57</v>
      </c>
      <c r="N289" s="14" t="str">
        <f>VLOOKUP(A289,[2]Sheet1!$B$4:$F$352,3,0)</f>
        <v>CHS2L</v>
      </c>
      <c r="O289" s="16">
        <f>VLOOKUP(A289,[2]Sheet1!$B$4:$F$352,4,0)</f>
        <v>0</v>
      </c>
      <c r="P289" s="16"/>
      <c r="Q289" s="16">
        <f>VLOOKUP(A289,[2]Sheet1!$B$4:$F$352,4,0)</f>
        <v>0</v>
      </c>
      <c r="R289" s="17">
        <f>VLOOKUP(A289,[1]Sheet1!$A$2:$F$379,3,0)</f>
        <v>13</v>
      </c>
      <c r="S289" s="16">
        <f>VLOOKUP(A289,[1]Sheet1!$A$2:$F$379,4,0)</f>
        <v>21</v>
      </c>
      <c r="T289" s="16">
        <f>VLOOKUP(A289,[1]Sheet1!$A$2:$F$379,5,0)</f>
        <v>218</v>
      </c>
      <c r="U289" s="16" t="str">
        <f>VLOOKUP(A289,[1]Sheet1!$A$2:$F$379,6,0)</f>
        <v>214±1</v>
      </c>
      <c r="V289" s="16"/>
      <c r="W289" s="16"/>
      <c r="X289" s="16"/>
      <c r="Y289" s="18" t="str">
        <f>VLOOKUP(A289,[3]Combi!$A$1:$B$304,2,0)</f>
        <v>SOP/PROD/HOSE/SPS/2/10</v>
      </c>
    </row>
    <row r="290" spans="1:26" s="18" customFormat="1" x14ac:dyDescent="0.25">
      <c r="A290" s="13" t="s">
        <v>933</v>
      </c>
      <c r="B290" s="14" t="str">
        <f>VLOOKUP(A290,[1]Sheet1!$A$2:$F$379,2,0)</f>
        <v>16260-0Y080-3</v>
      </c>
      <c r="C290" s="14" t="s">
        <v>150</v>
      </c>
      <c r="D290" s="14" t="s">
        <v>1236</v>
      </c>
      <c r="E290" s="15">
        <v>50.28</v>
      </c>
      <c r="F290" s="14"/>
      <c r="G290" s="14"/>
      <c r="H290" s="14"/>
      <c r="I290" s="14"/>
      <c r="J290" s="15">
        <f t="shared" si="9"/>
        <v>50.28</v>
      </c>
      <c r="K290" s="14" t="s">
        <v>1265</v>
      </c>
      <c r="L290" s="15">
        <v>1.61</v>
      </c>
      <c r="M290" s="15">
        <f t="shared" si="8"/>
        <v>51.89</v>
      </c>
      <c r="N290" s="14" t="str">
        <f>VLOOKUP(A290,[2]Sheet1!$B$4:$F$352,3,0)</f>
        <v>CHS2L</v>
      </c>
      <c r="O290" s="16">
        <f>VLOOKUP(A290,[2]Sheet1!$B$4:$F$352,4,0)</f>
        <v>0</v>
      </c>
      <c r="P290" s="16"/>
      <c r="Q290" s="16">
        <f>VLOOKUP(A290,[2]Sheet1!$B$4:$F$352,4,0)</f>
        <v>0</v>
      </c>
      <c r="R290" s="17">
        <f>VLOOKUP(A290,[1]Sheet1!$A$2:$F$379,3,0)</f>
        <v>16</v>
      </c>
      <c r="S290" s="16">
        <f>VLOOKUP(A290,[1]Sheet1!$A$2:$F$379,4,0)</f>
        <v>24</v>
      </c>
      <c r="T290" s="16">
        <f>VLOOKUP(A290,[1]Sheet1!$A$2:$F$379,5,0)</f>
        <v>189</v>
      </c>
      <c r="U290" s="16"/>
      <c r="V290" s="16"/>
      <c r="W290" s="16"/>
      <c r="X290" s="16"/>
      <c r="Y290" s="18" t="str">
        <f>VLOOKUP(A290,[3]Combi!$A$1:$B$304,2,0)</f>
        <v>SOP/PROD/HOSE/SPS/2/8</v>
      </c>
    </row>
    <row r="291" spans="1:26" s="18" customFormat="1" x14ac:dyDescent="0.25">
      <c r="A291" s="13" t="s">
        <v>934</v>
      </c>
      <c r="B291" s="14" t="str">
        <f>VLOOKUP(A291,[1]Sheet1!$A$2:$F$379,2,0)</f>
        <v>16260-0Y080-4</v>
      </c>
      <c r="C291" s="14" t="s">
        <v>152</v>
      </c>
      <c r="D291" s="14" t="s">
        <v>1236</v>
      </c>
      <c r="E291" s="15">
        <v>103.28</v>
      </c>
      <c r="F291" s="14"/>
      <c r="G291" s="14"/>
      <c r="H291" s="14"/>
      <c r="I291" s="14"/>
      <c r="J291" s="15">
        <f t="shared" si="9"/>
        <v>103.28</v>
      </c>
      <c r="K291" s="14" t="s">
        <v>1265</v>
      </c>
      <c r="L291" s="15">
        <v>3.31</v>
      </c>
      <c r="M291" s="15">
        <f t="shared" si="8"/>
        <v>106.59</v>
      </c>
      <c r="N291" s="14" t="str">
        <f>VLOOKUP(A291,[2]Sheet1!$B$4:$F$352,3,0)</f>
        <v>CHS2L</v>
      </c>
      <c r="O291" s="16">
        <f>VLOOKUP(A291,[2]Sheet1!$B$4:$F$352,4,0)</f>
        <v>0</v>
      </c>
      <c r="P291" s="16"/>
      <c r="Q291" s="16">
        <f>VLOOKUP(A291,[2]Sheet1!$B$4:$F$352,4,0)</f>
        <v>0</v>
      </c>
      <c r="R291" s="17">
        <f>VLOOKUP(A291,[1]Sheet1!$A$2:$F$379,3,0)</f>
        <v>16</v>
      </c>
      <c r="S291" s="16">
        <f>VLOOKUP(A291,[1]Sheet1!$A$2:$F$379,4,0)</f>
        <v>24</v>
      </c>
      <c r="T291" s="16">
        <f>VLOOKUP(A291,[1]Sheet1!$A$2:$F$379,5,0)</f>
        <v>384</v>
      </c>
      <c r="U291" s="16"/>
      <c r="V291" s="16"/>
      <c r="W291" s="16"/>
      <c r="X291" s="16"/>
      <c r="Y291" s="18" t="str">
        <f>VLOOKUP(A291,[3]Combi!$A$1:$B$304,2,0)</f>
        <v>SOP/PROD/HOSE/SPS/2/8</v>
      </c>
    </row>
    <row r="292" spans="1:26" s="18" customFormat="1" x14ac:dyDescent="0.25">
      <c r="A292" s="13" t="s">
        <v>923</v>
      </c>
      <c r="B292" s="14" t="str">
        <f>VLOOKUP(A292,[1]Sheet1!$A$2:$F$379,2,0)</f>
        <v>16571-0Y280</v>
      </c>
      <c r="C292" s="14" t="s">
        <v>127</v>
      </c>
      <c r="D292" s="14" t="s">
        <v>1236</v>
      </c>
      <c r="E292" s="15">
        <v>196.1</v>
      </c>
      <c r="F292" s="14"/>
      <c r="G292" s="14"/>
      <c r="H292" s="14"/>
      <c r="I292" s="14"/>
      <c r="J292" s="15">
        <f t="shared" si="9"/>
        <v>196.1</v>
      </c>
      <c r="K292" s="14" t="s">
        <v>1266</v>
      </c>
      <c r="L292" s="15">
        <v>9.3000000000000007</v>
      </c>
      <c r="M292" s="15">
        <f t="shared" si="8"/>
        <v>205.4</v>
      </c>
      <c r="N292" s="14" t="str">
        <f>VLOOKUP(A292,[2]Sheet1!$B$4:$F$352,3,0)</f>
        <v>CHS2L</v>
      </c>
      <c r="O292" s="16">
        <f>VLOOKUP(A292,[2]Sheet1!$B$4:$F$352,4,0)</f>
        <v>0</v>
      </c>
      <c r="P292" s="16"/>
      <c r="Q292" s="16">
        <f>VLOOKUP(A292,[2]Sheet1!$B$4:$F$352,4,0)</f>
        <v>0</v>
      </c>
      <c r="R292" s="17">
        <f>VLOOKUP(A292,[1]Sheet1!$A$2:$F$379,3,0)</f>
        <v>30</v>
      </c>
      <c r="S292" s="16">
        <f>VLOOKUP(A292,[1]Sheet1!$A$2:$F$379,4,0)</f>
        <v>38</v>
      </c>
      <c r="T292" s="16">
        <f>VLOOKUP(A292,[1]Sheet1!$A$2:$F$379,5,0)</f>
        <v>408</v>
      </c>
      <c r="U292" s="16"/>
      <c r="V292" s="16"/>
      <c r="W292" s="16"/>
      <c r="X292" s="16"/>
      <c r="Y292" s="18" t="str">
        <f>VLOOKUP(A292,[3]Combi!$A$1:$B$304,2,0)</f>
        <v>SOP/PROD/HOSE/SPS/2/4</v>
      </c>
    </row>
    <row r="293" spans="1:26" s="18" customFormat="1" x14ac:dyDescent="0.25">
      <c r="A293" s="13" t="s">
        <v>923</v>
      </c>
      <c r="B293" s="14" t="str">
        <f>VLOOKUP(A293,[1]Sheet1!$A$2:$F$379,2,0)</f>
        <v>16571-0Y280</v>
      </c>
      <c r="C293" s="14" t="s">
        <v>127</v>
      </c>
      <c r="D293" s="14" t="s">
        <v>1237</v>
      </c>
      <c r="E293" s="15">
        <v>215</v>
      </c>
      <c r="F293" s="14"/>
      <c r="G293" s="14"/>
      <c r="H293" s="14"/>
      <c r="I293" s="14"/>
      <c r="J293" s="15">
        <f t="shared" si="9"/>
        <v>215</v>
      </c>
      <c r="K293" s="14" t="s">
        <v>1266</v>
      </c>
      <c r="L293" s="15">
        <v>9.3000000000000007</v>
      </c>
      <c r="M293" s="15">
        <f t="shared" si="8"/>
        <v>224.3</v>
      </c>
      <c r="N293" s="14" t="str">
        <f>VLOOKUP(A293,[2]Sheet1!$B$4:$F$352,3,0)</f>
        <v>CHS2L</v>
      </c>
      <c r="O293" s="16">
        <f>VLOOKUP(A293,[2]Sheet1!$B$4:$F$352,4,0)</f>
        <v>0</v>
      </c>
      <c r="P293" s="16"/>
      <c r="Q293" s="16">
        <f>VLOOKUP(A293,[2]Sheet1!$B$4:$F$352,4,0)</f>
        <v>0</v>
      </c>
      <c r="R293" s="17">
        <f>VLOOKUP(A293,[1]Sheet1!$A$2:$F$379,3,0)</f>
        <v>30</v>
      </c>
      <c r="S293" s="16">
        <f>VLOOKUP(A293,[1]Sheet1!$A$2:$F$379,4,0)</f>
        <v>38</v>
      </c>
      <c r="T293" s="16">
        <f>VLOOKUP(A293,[1]Sheet1!$A$2:$F$379,5,0)</f>
        <v>408</v>
      </c>
      <c r="U293" s="16"/>
      <c r="V293" s="16"/>
      <c r="W293" s="16"/>
      <c r="X293" s="16"/>
      <c r="Y293" s="18" t="str">
        <f>VLOOKUP(A293,[3]Combi!$A$1:$B$304,2,0)</f>
        <v>SOP/PROD/HOSE/SPS/2/4</v>
      </c>
    </row>
    <row r="294" spans="1:26" s="18" customFormat="1" x14ac:dyDescent="0.25">
      <c r="A294" s="13" t="s">
        <v>898</v>
      </c>
      <c r="B294" s="14" t="str">
        <f>VLOOKUP(A294,[1]Sheet1!$A$2:$F$379,2,0)</f>
        <v>17341-0V010</v>
      </c>
      <c r="C294" s="14" t="s">
        <v>46</v>
      </c>
      <c r="D294" s="14" t="s">
        <v>1224</v>
      </c>
      <c r="E294" s="15">
        <v>31.41</v>
      </c>
      <c r="F294" s="14" t="s">
        <v>1225</v>
      </c>
      <c r="G294" s="15">
        <v>27.02</v>
      </c>
      <c r="H294" s="14" t="s">
        <v>1226</v>
      </c>
      <c r="I294" s="15">
        <v>69.91</v>
      </c>
      <c r="J294" s="15">
        <f t="shared" si="9"/>
        <v>128.34</v>
      </c>
      <c r="K294" s="14" t="s">
        <v>1264</v>
      </c>
      <c r="L294" s="15">
        <v>3.39</v>
      </c>
      <c r="M294" s="15">
        <f t="shared" si="8"/>
        <v>131.72999999999999</v>
      </c>
      <c r="N294" s="14" t="str">
        <f>VLOOKUP(A294,[2]Sheet1!$B$4:$F$352,3,0)</f>
        <v>CHS3L</v>
      </c>
      <c r="O294" s="16">
        <f>VLOOKUP(A294,[2]Sheet1!$B$4:$F$352,4,0)</f>
        <v>0</v>
      </c>
      <c r="P294" s="16"/>
      <c r="Q294" s="16">
        <f>VLOOKUP(A294,[2]Sheet1!$B$4:$F$352,4,0)</f>
        <v>0</v>
      </c>
      <c r="R294" s="17">
        <f>VLOOKUP(A294,[1]Sheet1!$A$2:$F$379,3,0)</f>
        <v>7.5</v>
      </c>
      <c r="S294" s="16">
        <f>VLOOKUP(A294,[1]Sheet1!$A$2:$F$379,4,0)</f>
        <v>16</v>
      </c>
      <c r="T294" s="16">
        <f>VLOOKUP(A294,[1]Sheet1!$A$2:$F$379,5,0)</f>
        <v>629</v>
      </c>
      <c r="U294" s="16"/>
      <c r="V294" s="16"/>
      <c r="W294" s="16"/>
      <c r="X294" s="16"/>
      <c r="Y294" s="18" t="str">
        <f>VLOOKUP(A294,[3]Combi!$A$1:$B$304,2,0)</f>
        <v>SOP/PROD/HOSE/SPS/3/2</v>
      </c>
    </row>
    <row r="295" spans="1:26" s="18" customFormat="1" x14ac:dyDescent="0.25">
      <c r="A295" s="13" t="s">
        <v>899</v>
      </c>
      <c r="B295" s="14" t="str">
        <f>VLOOKUP(A295,[1]Sheet1!$A$2:$F$379,2,0)</f>
        <v>17342-0Y010</v>
      </c>
      <c r="C295" s="14" t="s">
        <v>48</v>
      </c>
      <c r="D295" s="14" t="s">
        <v>1224</v>
      </c>
      <c r="E295" s="15">
        <v>18.04</v>
      </c>
      <c r="F295" s="14" t="s">
        <v>1225</v>
      </c>
      <c r="G295" s="15">
        <v>15.52</v>
      </c>
      <c r="H295" s="14" t="s">
        <v>1226</v>
      </c>
      <c r="I295" s="15">
        <v>40.14</v>
      </c>
      <c r="J295" s="15">
        <f t="shared" si="9"/>
        <v>73.7</v>
      </c>
      <c r="K295" s="14" t="s">
        <v>1264</v>
      </c>
      <c r="L295" s="15">
        <v>1.94</v>
      </c>
      <c r="M295" s="15">
        <f t="shared" si="8"/>
        <v>75.639999999999986</v>
      </c>
      <c r="N295" s="14" t="str">
        <f>VLOOKUP(A295,[2]Sheet1!$B$4:$F$352,3,0)</f>
        <v>CHS3L</v>
      </c>
      <c r="O295" s="16">
        <f>VLOOKUP(A295,[2]Sheet1!$B$4:$F$352,4,0)</f>
        <v>0</v>
      </c>
      <c r="P295" s="16"/>
      <c r="Q295" s="16">
        <f>VLOOKUP(A295,[2]Sheet1!$B$4:$F$352,4,0)</f>
        <v>0</v>
      </c>
      <c r="R295" s="17">
        <f>VLOOKUP(A295,[1]Sheet1!$A$2:$F$379,3,0)</f>
        <v>7.5</v>
      </c>
      <c r="S295" s="16">
        <f>VLOOKUP(A295,[1]Sheet1!$A$2:$F$379,4,0)</f>
        <v>16</v>
      </c>
      <c r="T295" s="16">
        <f>VLOOKUP(A295,[1]Sheet1!$A$2:$F$379,5,0)</f>
        <v>362</v>
      </c>
      <c r="U295" s="16"/>
      <c r="V295" s="16"/>
      <c r="W295" s="16"/>
      <c r="X295" s="16"/>
      <c r="Y295" s="18" t="str">
        <f>VLOOKUP(A295,[3]Combi!$A$1:$B$304,2,0)</f>
        <v>SOP/PROD/HOSE/SPS/3/2</v>
      </c>
    </row>
    <row r="296" spans="1:26" s="18" customFormat="1" x14ac:dyDescent="0.25">
      <c r="A296" s="13" t="s">
        <v>909</v>
      </c>
      <c r="B296" s="14" t="str">
        <f>VLOOKUP(A296,[1]Sheet1!$A$2:$F$379,2,0)</f>
        <v>12262-0Y090</v>
      </c>
      <c r="C296" s="14" t="s">
        <v>84</v>
      </c>
      <c r="D296" s="14" t="s">
        <v>1230</v>
      </c>
      <c r="E296" s="15">
        <v>18.440000000000001</v>
      </c>
      <c r="F296" s="14" t="s">
        <v>1235</v>
      </c>
      <c r="G296" s="15">
        <v>95.97</v>
      </c>
      <c r="H296" s="14"/>
      <c r="I296" s="14"/>
      <c r="J296" s="15">
        <f t="shared" si="9"/>
        <v>114.41</v>
      </c>
      <c r="K296" s="14"/>
      <c r="L296" s="14"/>
      <c r="M296" s="15">
        <f t="shared" si="8"/>
        <v>114.41</v>
      </c>
      <c r="N296" s="14" t="str">
        <f>VLOOKUP(A296,[2]Sheet1!$B$4:$F$352,3,0)</f>
        <v>DL2</v>
      </c>
      <c r="O296" s="16">
        <f>VLOOKUP(A296,[2]Sheet1!$B$4:$F$352,4,0)</f>
        <v>0</v>
      </c>
      <c r="P296" s="16"/>
      <c r="Q296" s="16">
        <f>VLOOKUP(A296,[2]Sheet1!$B$4:$F$352,4,0)</f>
        <v>0</v>
      </c>
      <c r="R296" s="17">
        <f>VLOOKUP(A296,[1]Sheet1!$A$2:$F$379,3,0)</f>
        <v>15</v>
      </c>
      <c r="S296" s="16">
        <f>VLOOKUP(A296,[1]Sheet1!$A$2:$F$379,4,0)</f>
        <v>22</v>
      </c>
      <c r="T296" s="16" t="str">
        <f>VLOOKUP(A296,[1]Sheet1!$A$2:$F$379,5,0)</f>
        <v>448±2</v>
      </c>
      <c r="U296" s="16"/>
      <c r="V296" s="16"/>
      <c r="W296" s="16"/>
      <c r="X296" s="16"/>
      <c r="Y296" s="18" t="e">
        <f>VLOOKUP(A296,[3]Combi!$A$1:$B$304,2,0)</f>
        <v>#N/A</v>
      </c>
      <c r="Z296" s="22" t="s">
        <v>1296</v>
      </c>
    </row>
    <row r="297" spans="1:26" s="18" customFormat="1" x14ac:dyDescent="0.25">
      <c r="A297" s="13" t="s">
        <v>930</v>
      </c>
      <c r="B297" s="14" t="str">
        <f>VLOOKUP(A297,[1]Sheet1!$A$2:$F$379,2,0)</f>
        <v>16281-0Y030</v>
      </c>
      <c r="C297" s="14" t="s">
        <v>144</v>
      </c>
      <c r="D297" s="14" t="s">
        <v>1237</v>
      </c>
      <c r="E297" s="15">
        <v>116.1</v>
      </c>
      <c r="F297" s="14"/>
      <c r="G297" s="14"/>
      <c r="H297" s="14"/>
      <c r="I297" s="14"/>
      <c r="J297" s="15">
        <f t="shared" si="9"/>
        <v>116.1</v>
      </c>
      <c r="K297" s="14" t="s">
        <v>1265</v>
      </c>
      <c r="L297" s="15">
        <v>5.5</v>
      </c>
      <c r="M297" s="15">
        <f t="shared" si="8"/>
        <v>121.6</v>
      </c>
      <c r="N297" s="14" t="str">
        <f>VLOOKUP(A297,[2]Sheet1!$B$4:$F$352,3,0)</f>
        <v>CHS2L</v>
      </c>
      <c r="O297" s="16">
        <f>VLOOKUP(A297,[2]Sheet1!$B$4:$F$352,4,0)</f>
        <v>0</v>
      </c>
      <c r="P297" s="16"/>
      <c r="Q297" s="16">
        <f>VLOOKUP(A297,[2]Sheet1!$B$4:$F$352,4,0)</f>
        <v>0</v>
      </c>
      <c r="R297" s="17">
        <f>VLOOKUP(A297,[1]Sheet1!$A$2:$F$379,3,0)</f>
        <v>16</v>
      </c>
      <c r="S297" s="16">
        <f>VLOOKUP(A297,[1]Sheet1!$A$2:$F$379,4,0)</f>
        <v>24</v>
      </c>
      <c r="T297" s="16">
        <f>VLOOKUP(A297,[1]Sheet1!$A$2:$F$379,5,0)</f>
        <v>417</v>
      </c>
      <c r="U297" s="16" t="str">
        <f>VLOOKUP(A297,[1]Sheet1!$A$2:$F$379,6,0)</f>
        <v>412±1</v>
      </c>
      <c r="V297" s="16"/>
      <c r="W297" s="16"/>
      <c r="X297" s="16"/>
      <c r="Y297" s="18" t="str">
        <f>VLOOKUP(A297,[3]Combi!$A$1:$B$304,2,0)</f>
        <v>SOP/PROD/HOSE/SPS/2/7</v>
      </c>
    </row>
    <row r="298" spans="1:26" s="18" customFormat="1" x14ac:dyDescent="0.25">
      <c r="A298" s="13" t="s">
        <v>897</v>
      </c>
      <c r="B298" s="14" t="str">
        <f>VLOOKUP(A298,[1]Sheet1!$A$2:$F$379,2,0)</f>
        <v>23826-0Y040</v>
      </c>
      <c r="C298" s="14" t="s">
        <v>42</v>
      </c>
      <c r="D298" s="14" t="s">
        <v>1229</v>
      </c>
      <c r="E298" s="15">
        <v>30.42</v>
      </c>
      <c r="F298" s="14" t="s">
        <v>1230</v>
      </c>
      <c r="G298" s="15">
        <v>8.0399999999999991</v>
      </c>
      <c r="H298" s="14"/>
      <c r="I298" s="14"/>
      <c r="J298" s="15">
        <f t="shared" si="9"/>
        <v>38.46</v>
      </c>
      <c r="K298" s="14"/>
      <c r="L298" s="14"/>
      <c r="M298" s="15">
        <f t="shared" si="8"/>
        <v>38.46</v>
      </c>
      <c r="N298" s="14" t="str">
        <f>VLOOKUP(A298,[2]Sheet1!$B$4:$F$352,3,0)</f>
        <v>DL1</v>
      </c>
      <c r="O298" s="16">
        <f>VLOOKUP(A298,[2]Sheet1!$B$4:$F$352,4,0)</f>
        <v>0</v>
      </c>
      <c r="P298" s="16"/>
      <c r="Q298" s="16">
        <f>VLOOKUP(A298,[2]Sheet1!$B$4:$F$352,4,0)</f>
        <v>0</v>
      </c>
      <c r="R298" s="17">
        <f>VLOOKUP(A298,[1]Sheet1!$A$2:$F$379,3,0)</f>
        <v>7</v>
      </c>
      <c r="S298" s="16">
        <f>VLOOKUP(A298,[1]Sheet1!$A$2:$F$379,4,0)</f>
        <v>12</v>
      </c>
      <c r="T298" s="16" t="str">
        <f>VLOOKUP(A298,[1]Sheet1!$A$2:$F$379,5,0)</f>
        <v>468±2</v>
      </c>
      <c r="U298" s="16"/>
      <c r="V298" s="16"/>
      <c r="W298" s="16"/>
      <c r="X298" s="16"/>
      <c r="Y298" s="18" t="str">
        <f>VLOOKUP(A298,[3]Combi!$A$1:$B$304,2,0)</f>
        <v>SOP/PROD/HOSE/SPS/1/6</v>
      </c>
    </row>
    <row r="299" spans="1:26" s="18" customFormat="1" x14ac:dyDescent="0.25">
      <c r="A299" s="13" t="s">
        <v>924</v>
      </c>
      <c r="B299" s="14" t="str">
        <f>VLOOKUP(A299,[1]Sheet1!$A$2:$F$379,2,0)</f>
        <v>31343-0D120</v>
      </c>
      <c r="C299" s="14" t="s">
        <v>129</v>
      </c>
      <c r="D299" s="14" t="s">
        <v>1238</v>
      </c>
      <c r="E299" s="15">
        <v>62.08</v>
      </c>
      <c r="F299" s="14"/>
      <c r="G299" s="14"/>
      <c r="H299" s="14"/>
      <c r="I299" s="14"/>
      <c r="J299" s="15">
        <f t="shared" si="9"/>
        <v>62.08</v>
      </c>
      <c r="K299" s="14"/>
      <c r="L299" s="14"/>
      <c r="M299" s="15">
        <f t="shared" si="8"/>
        <v>62.08</v>
      </c>
      <c r="N299" s="14" t="str">
        <f>VLOOKUP(A299,[2]Sheet1!$B$4:$F$352,3,0)</f>
        <v>DL1</v>
      </c>
      <c r="O299" s="16">
        <f>VLOOKUP(A299,[2]Sheet1!$B$4:$F$352,4,0)</f>
        <v>0</v>
      </c>
      <c r="P299" s="16"/>
      <c r="Q299" s="16">
        <f>VLOOKUP(A299,[2]Sheet1!$B$4:$F$352,4,0)</f>
        <v>0</v>
      </c>
      <c r="R299" s="17">
        <f>VLOOKUP(A299,[1]Sheet1!$A$2:$F$379,3,0)</f>
        <v>8.5</v>
      </c>
      <c r="S299" s="16">
        <f>VLOOKUP(A299,[1]Sheet1!$A$2:$F$379,4,0)</f>
        <v>17</v>
      </c>
      <c r="T299" s="16" t="str">
        <f>VLOOKUP(A299,[1]Sheet1!$A$2:$F$379,5,0)</f>
        <v>325±2</v>
      </c>
      <c r="U299" s="16"/>
      <c r="V299" s="16"/>
      <c r="W299" s="16"/>
      <c r="X299" s="16"/>
      <c r="Y299" s="18" t="str">
        <f>VLOOKUP(A299,[3]Combi!$A$1:$B$304,2,0)</f>
        <v>SOP/PROD/HOSE/SPS/1/10</v>
      </c>
    </row>
    <row r="300" spans="1:26" s="18" customFormat="1" x14ac:dyDescent="0.25">
      <c r="A300" s="13" t="s">
        <v>922</v>
      </c>
      <c r="B300" s="14" t="str">
        <f>VLOOKUP(A300,[1]Sheet1!$A$2:$F$379,2,0)</f>
        <v>16264-0L070</v>
      </c>
      <c r="C300" s="14" t="s">
        <v>125</v>
      </c>
      <c r="D300" s="14" t="s">
        <v>1236</v>
      </c>
      <c r="E300" s="15">
        <v>158.72999999999999</v>
      </c>
      <c r="F300" s="14"/>
      <c r="G300" s="14"/>
      <c r="H300" s="14"/>
      <c r="I300" s="14"/>
      <c r="J300" s="15">
        <f t="shared" si="9"/>
        <v>158.72999999999999</v>
      </c>
      <c r="K300" s="14" t="s">
        <v>1265</v>
      </c>
      <c r="L300" s="15">
        <v>5.08</v>
      </c>
      <c r="M300" s="15">
        <f t="shared" si="8"/>
        <v>163.81</v>
      </c>
      <c r="N300" s="14" t="str">
        <f>VLOOKUP(A300,[2]Sheet1!$B$4:$F$352,3,0)</f>
        <v>CHS2L</v>
      </c>
      <c r="O300" s="16">
        <f>VLOOKUP(A300,[2]Sheet1!$B$4:$F$352,4,0)</f>
        <v>5</v>
      </c>
      <c r="P300" s="16"/>
      <c r="Q300" s="16">
        <f>VLOOKUP(A300,[2]Sheet1!$B$4:$F$352,4,0)</f>
        <v>5</v>
      </c>
      <c r="R300" s="17">
        <f>VLOOKUP(A300,[1]Sheet1!$A$2:$F$379,3,0)</f>
        <v>16</v>
      </c>
      <c r="S300" s="16">
        <f>VLOOKUP(A300,[1]Sheet1!$A$2:$F$379,4,0)</f>
        <v>24</v>
      </c>
      <c r="T300" s="16">
        <f>VLOOKUP(A300,[1]Sheet1!$A$2:$F$379,5,0)</f>
        <v>599</v>
      </c>
      <c r="U300" s="16"/>
      <c r="V300" s="16"/>
      <c r="W300" s="16"/>
      <c r="X300" s="16"/>
      <c r="Y300" s="18" t="str">
        <f>VLOOKUP(A300,[3]Combi!$A$1:$B$304,2,0)</f>
        <v>SOP/PROD/HOSE/SPS/2/8</v>
      </c>
    </row>
    <row r="301" spans="1:26" s="18" customFormat="1" x14ac:dyDescent="0.25">
      <c r="A301" s="13" t="s">
        <v>907</v>
      </c>
      <c r="B301" s="14" t="str">
        <f>VLOOKUP(A301,[1]Sheet1!$A$2:$F$379,2,0)</f>
        <v>23273-0L200 (1)</v>
      </c>
      <c r="C301" s="14" t="s">
        <v>80</v>
      </c>
      <c r="D301" s="14" t="s">
        <v>1233</v>
      </c>
      <c r="E301" s="15">
        <v>26.75</v>
      </c>
      <c r="F301" s="14" t="s">
        <v>1232</v>
      </c>
      <c r="G301" s="15">
        <v>23.02</v>
      </c>
      <c r="H301" s="14" t="s">
        <v>1231</v>
      </c>
      <c r="I301" s="15">
        <v>11.52</v>
      </c>
      <c r="J301" s="15">
        <f t="shared" si="9"/>
        <v>61.289999999999992</v>
      </c>
      <c r="K301" s="14" t="s">
        <v>1263</v>
      </c>
      <c r="L301" s="15">
        <v>2.94</v>
      </c>
      <c r="M301" s="15">
        <f t="shared" si="8"/>
        <v>64.22999999999999</v>
      </c>
      <c r="N301" s="14" t="str">
        <f>VLOOKUP(A301,[2]Sheet1!$B$4:$F$352,3,0)</f>
        <v>CHS3L</v>
      </c>
      <c r="O301" s="16">
        <f>VLOOKUP(A301,[2]Sheet1!$B$4:$F$352,4,0)</f>
        <v>0</v>
      </c>
      <c r="P301" s="16"/>
      <c r="Q301" s="16">
        <f>VLOOKUP(A301,[2]Sheet1!$B$4:$F$352,4,0)</f>
        <v>0</v>
      </c>
      <c r="R301" s="17">
        <f>VLOOKUP(A301,[1]Sheet1!$A$2:$F$379,3,0)</f>
        <v>7.6</v>
      </c>
      <c r="S301" s="16">
        <f>VLOOKUP(A301,[1]Sheet1!$A$2:$F$379,4,0)</f>
        <v>14</v>
      </c>
      <c r="T301" s="16">
        <f>VLOOKUP(A301,[1]Sheet1!$A$2:$F$379,5,0)</f>
        <v>425</v>
      </c>
      <c r="U301" s="16" t="str">
        <f>VLOOKUP(A301,[1]Sheet1!$A$2:$F$379,6,0)</f>
        <v>410±2</v>
      </c>
      <c r="V301" s="16"/>
      <c r="W301" s="16"/>
      <c r="X301" s="16"/>
      <c r="Y301" s="18" t="str">
        <f>VLOOKUP(A301,[3]Combi!$A$1:$B$304,2,0)</f>
        <v>SOP/PROD/HOSE/SPS/3/3</v>
      </c>
    </row>
    <row r="302" spans="1:26" s="18" customFormat="1" x14ac:dyDescent="0.25">
      <c r="A302" s="13" t="s">
        <v>907</v>
      </c>
      <c r="B302" s="14" t="str">
        <f>VLOOKUP(A302,[1]Sheet1!$A$2:$F$379,2,0)</f>
        <v>23273-0L200 (1)</v>
      </c>
      <c r="C302" s="14" t="s">
        <v>80</v>
      </c>
      <c r="D302" s="14" t="s">
        <v>1221</v>
      </c>
      <c r="E302" s="15">
        <v>8.06</v>
      </c>
      <c r="F302" s="14" t="s">
        <v>1222</v>
      </c>
      <c r="G302" s="15">
        <v>22.6</v>
      </c>
      <c r="H302" s="14" t="s">
        <v>1223</v>
      </c>
      <c r="I302" s="15">
        <v>22.64</v>
      </c>
      <c r="J302" s="15">
        <f t="shared" si="9"/>
        <v>53.300000000000004</v>
      </c>
      <c r="K302" s="14" t="s">
        <v>1263</v>
      </c>
      <c r="L302" s="15">
        <v>2.9</v>
      </c>
      <c r="M302" s="15">
        <f t="shared" si="8"/>
        <v>56.2</v>
      </c>
      <c r="N302" s="14" t="str">
        <f>VLOOKUP(A302,[2]Sheet1!$B$4:$F$352,3,0)</f>
        <v>CHS3L</v>
      </c>
      <c r="O302" s="16">
        <f>VLOOKUP(A302,[2]Sheet1!$B$4:$F$352,4,0)</f>
        <v>0</v>
      </c>
      <c r="P302" s="16"/>
      <c r="Q302" s="16">
        <f>VLOOKUP(A302,[2]Sheet1!$B$4:$F$352,4,0)</f>
        <v>0</v>
      </c>
      <c r="R302" s="17">
        <f>VLOOKUP(A302,[1]Sheet1!$A$2:$F$379,3,0)</f>
        <v>7.6</v>
      </c>
      <c r="S302" s="16">
        <f>VLOOKUP(A302,[1]Sheet1!$A$2:$F$379,4,0)</f>
        <v>14</v>
      </c>
      <c r="T302" s="16">
        <f>VLOOKUP(A302,[1]Sheet1!$A$2:$F$379,5,0)</f>
        <v>425</v>
      </c>
      <c r="U302" s="16"/>
      <c r="V302" s="16"/>
      <c r="W302" s="16"/>
      <c r="X302" s="16"/>
      <c r="Y302" s="18" t="str">
        <f>VLOOKUP(A302,[3]Combi!$A$1:$B$304,2,0)</f>
        <v>SOP/PROD/HOSE/SPS/3/3</v>
      </c>
    </row>
    <row r="303" spans="1:26" s="18" customFormat="1" x14ac:dyDescent="0.25">
      <c r="A303" s="13" t="s">
        <v>906</v>
      </c>
      <c r="B303" s="14" t="str">
        <f>VLOOKUP(A303,[1]Sheet1!$A$2:$F$379,2,0)</f>
        <v>23273-0L200 (2)</v>
      </c>
      <c r="C303" s="14" t="s">
        <v>78</v>
      </c>
      <c r="D303" s="14" t="s">
        <v>1233</v>
      </c>
      <c r="E303" s="15">
        <v>17.77</v>
      </c>
      <c r="F303" s="14" t="s">
        <v>1232</v>
      </c>
      <c r="G303" s="15">
        <v>15.29</v>
      </c>
      <c r="H303" s="14" t="s">
        <v>1231</v>
      </c>
      <c r="I303" s="15">
        <v>8.99</v>
      </c>
      <c r="J303" s="15">
        <f t="shared" si="9"/>
        <v>42.050000000000004</v>
      </c>
      <c r="K303" s="14" t="s">
        <v>1263</v>
      </c>
      <c r="L303" s="15">
        <v>1.95</v>
      </c>
      <c r="M303" s="15">
        <f t="shared" si="8"/>
        <v>44</v>
      </c>
      <c r="N303" s="14" t="str">
        <f>VLOOKUP(A303,[2]Sheet1!$B$4:$F$352,3,0)</f>
        <v>CHS3L</v>
      </c>
      <c r="O303" s="16">
        <f>VLOOKUP(A303,[2]Sheet1!$B$4:$F$352,4,0)</f>
        <v>0</v>
      </c>
      <c r="P303" s="16"/>
      <c r="Q303" s="16">
        <f>VLOOKUP(A303,[2]Sheet1!$B$4:$F$352,4,0)</f>
        <v>0</v>
      </c>
      <c r="R303" s="17">
        <f>VLOOKUP(A303,[1]Sheet1!$A$2:$F$379,3,0)</f>
        <v>7.6</v>
      </c>
      <c r="S303" s="16">
        <f>VLOOKUP(A303,[1]Sheet1!$A$2:$F$379,4,0)</f>
        <v>14</v>
      </c>
      <c r="T303" s="16">
        <f>VLOOKUP(A303,[1]Sheet1!$A$2:$F$379,5,0)</f>
        <v>284</v>
      </c>
      <c r="U303" s="16" t="str">
        <f>VLOOKUP(A303,[1]Sheet1!$A$2:$F$379,6,0)</f>
        <v>272±1</v>
      </c>
      <c r="V303" s="16"/>
      <c r="W303" s="16"/>
      <c r="X303" s="16"/>
      <c r="Y303" s="18" t="str">
        <f>VLOOKUP(A303,[3]Combi!$A$1:$B$304,2,0)</f>
        <v>SOP/PROD/HOSE/SPS/3/3</v>
      </c>
    </row>
    <row r="304" spans="1:26" s="18" customFormat="1" x14ac:dyDescent="0.25">
      <c r="A304" s="13" t="s">
        <v>906</v>
      </c>
      <c r="B304" s="14" t="str">
        <f>VLOOKUP(A304,[1]Sheet1!$A$2:$F$379,2,0)</f>
        <v>23273-0L200 (2)</v>
      </c>
      <c r="C304" s="14" t="s">
        <v>78</v>
      </c>
      <c r="D304" s="14" t="s">
        <v>1221</v>
      </c>
      <c r="E304" s="15">
        <v>5.36</v>
      </c>
      <c r="F304" s="14" t="s">
        <v>1222</v>
      </c>
      <c r="G304" s="15">
        <v>15.01</v>
      </c>
      <c r="H304" s="14" t="s">
        <v>1223</v>
      </c>
      <c r="I304" s="15">
        <v>15.04</v>
      </c>
      <c r="J304" s="15">
        <f t="shared" si="9"/>
        <v>35.409999999999997</v>
      </c>
      <c r="K304" s="14" t="s">
        <v>1263</v>
      </c>
      <c r="L304" s="15">
        <v>1.93</v>
      </c>
      <c r="M304" s="15">
        <f t="shared" si="8"/>
        <v>37.339999999999996</v>
      </c>
      <c r="N304" s="14" t="str">
        <f>VLOOKUP(A304,[2]Sheet1!$B$4:$F$352,3,0)</f>
        <v>CHS3L</v>
      </c>
      <c r="O304" s="16">
        <f>VLOOKUP(A304,[2]Sheet1!$B$4:$F$352,4,0)</f>
        <v>0</v>
      </c>
      <c r="P304" s="16"/>
      <c r="Q304" s="16">
        <f>VLOOKUP(A304,[2]Sheet1!$B$4:$F$352,4,0)</f>
        <v>0</v>
      </c>
      <c r="R304" s="17">
        <f>VLOOKUP(A304,[1]Sheet1!$A$2:$F$379,3,0)</f>
        <v>7.6</v>
      </c>
      <c r="S304" s="16">
        <f>VLOOKUP(A304,[1]Sheet1!$A$2:$F$379,4,0)</f>
        <v>14</v>
      </c>
      <c r="T304" s="16">
        <f>VLOOKUP(A304,[1]Sheet1!$A$2:$F$379,5,0)</f>
        <v>284</v>
      </c>
      <c r="U304" s="16" t="str">
        <f>VLOOKUP(A304,[1]Sheet1!$A$2:$F$379,6,0)</f>
        <v>272±1</v>
      </c>
      <c r="V304" s="16"/>
      <c r="W304" s="16"/>
      <c r="X304" s="16"/>
      <c r="Y304" s="18" t="str">
        <f>VLOOKUP(A304,[3]Combi!$A$1:$B$304,2,0)</f>
        <v>SOP/PROD/HOSE/SPS/3/3</v>
      </c>
    </row>
    <row r="305" spans="1:26" s="18" customFormat="1" x14ac:dyDescent="0.25">
      <c r="A305" s="13" t="s">
        <v>908</v>
      </c>
      <c r="B305" s="14" t="str">
        <f>VLOOKUP(A305,[1]Sheet1!$A$2:$F$379,2,0)</f>
        <v>23273-0L120</v>
      </c>
      <c r="C305" s="14" t="s">
        <v>82</v>
      </c>
      <c r="D305" s="14" t="s">
        <v>1233</v>
      </c>
      <c r="E305" s="15">
        <v>39.619999999999997</v>
      </c>
      <c r="F305" s="14" t="s">
        <v>1232</v>
      </c>
      <c r="G305" s="15">
        <v>34.090000000000003</v>
      </c>
      <c r="H305" s="14" t="s">
        <v>1231</v>
      </c>
      <c r="I305" s="15">
        <v>15.13</v>
      </c>
      <c r="J305" s="15">
        <f t="shared" si="9"/>
        <v>88.84</v>
      </c>
      <c r="K305" s="14" t="s">
        <v>1263</v>
      </c>
      <c r="L305" s="15">
        <v>4.3499999999999996</v>
      </c>
      <c r="M305" s="15">
        <f t="shared" si="8"/>
        <v>93.19</v>
      </c>
      <c r="N305" s="14" t="str">
        <f>VLOOKUP(A305,[2]Sheet1!$B$4:$F$352,3,0)</f>
        <v>CHS3L</v>
      </c>
      <c r="O305" s="16">
        <f>VLOOKUP(A305,[2]Sheet1!$B$4:$F$352,4,0)</f>
        <v>0</v>
      </c>
      <c r="P305" s="16"/>
      <c r="Q305" s="16">
        <f>VLOOKUP(A305,[2]Sheet1!$B$4:$F$352,4,0)</f>
        <v>0</v>
      </c>
      <c r="R305" s="17">
        <f>VLOOKUP(A305,[1]Sheet1!$A$2:$F$379,3,0)</f>
        <v>7.6</v>
      </c>
      <c r="S305" s="16">
        <f>VLOOKUP(A305,[1]Sheet1!$A$2:$F$379,4,0)</f>
        <v>14</v>
      </c>
      <c r="T305" s="16">
        <f>VLOOKUP(A305,[1]Sheet1!$A$2:$F$379,5,0)</f>
        <v>627</v>
      </c>
      <c r="U305" s="16" t="str">
        <f>VLOOKUP(A305,[1]Sheet1!$A$2:$F$379,6,0)</f>
        <v>606±3</v>
      </c>
      <c r="V305" s="16"/>
      <c r="W305" s="16"/>
      <c r="X305" s="16"/>
      <c r="Y305" s="18" t="str">
        <f>VLOOKUP(A305,[3]Combi!$A$1:$B$304,2,0)</f>
        <v>SOP/PROD/HOSE/SPS/3/3</v>
      </c>
    </row>
    <row r="306" spans="1:26" s="18" customFormat="1" x14ac:dyDescent="0.25">
      <c r="A306" s="13" t="s">
        <v>908</v>
      </c>
      <c r="B306" s="14" t="str">
        <f>VLOOKUP(A306,[1]Sheet1!$A$2:$F$379,2,0)</f>
        <v>23273-0L120</v>
      </c>
      <c r="C306" s="14" t="s">
        <v>82</v>
      </c>
      <c r="D306" s="14" t="s">
        <v>1221</v>
      </c>
      <c r="E306" s="15">
        <v>11.94</v>
      </c>
      <c r="F306" s="14" t="s">
        <v>1222</v>
      </c>
      <c r="G306" s="15">
        <v>33.46</v>
      </c>
      <c r="H306" s="14" t="s">
        <v>1223</v>
      </c>
      <c r="I306" s="15">
        <v>33.53</v>
      </c>
      <c r="J306" s="15">
        <f t="shared" si="9"/>
        <v>78.930000000000007</v>
      </c>
      <c r="K306" s="14" t="s">
        <v>1263</v>
      </c>
      <c r="L306" s="15">
        <v>4.29</v>
      </c>
      <c r="M306" s="15">
        <f t="shared" si="8"/>
        <v>83.22</v>
      </c>
      <c r="N306" s="14" t="str">
        <f>VLOOKUP(A306,[2]Sheet1!$B$4:$F$352,3,0)</f>
        <v>CHS3L</v>
      </c>
      <c r="O306" s="16">
        <f>VLOOKUP(A306,[2]Sheet1!$B$4:$F$352,4,0)</f>
        <v>0</v>
      </c>
      <c r="P306" s="16"/>
      <c r="Q306" s="16">
        <f>VLOOKUP(A306,[2]Sheet1!$B$4:$F$352,4,0)</f>
        <v>0</v>
      </c>
      <c r="R306" s="17">
        <f>VLOOKUP(A306,[1]Sheet1!$A$2:$F$379,3,0)</f>
        <v>7.6</v>
      </c>
      <c r="S306" s="16">
        <f>VLOOKUP(A306,[1]Sheet1!$A$2:$F$379,4,0)</f>
        <v>14</v>
      </c>
      <c r="T306" s="16">
        <f>VLOOKUP(A306,[1]Sheet1!$A$2:$F$379,5,0)</f>
        <v>627</v>
      </c>
      <c r="U306" s="16"/>
      <c r="V306" s="16"/>
      <c r="W306" s="16"/>
      <c r="X306" s="16"/>
      <c r="Y306" s="18" t="str">
        <f>VLOOKUP(A306,[3]Combi!$A$1:$B$304,2,0)</f>
        <v>SOP/PROD/HOSE/SPS/3/3</v>
      </c>
    </row>
    <row r="307" spans="1:26" s="18" customFormat="1" x14ac:dyDescent="0.25">
      <c r="A307" s="13" t="s">
        <v>904</v>
      </c>
      <c r="B307" s="14" t="str">
        <f>VLOOKUP(A307,[1]Sheet1!$A$2:$F$379,2,0)</f>
        <v>23827-0C060</v>
      </c>
      <c r="C307" s="14" t="s">
        <v>70</v>
      </c>
      <c r="D307" s="14" t="s">
        <v>1229</v>
      </c>
      <c r="E307" s="15">
        <v>28.08</v>
      </c>
      <c r="F307" s="14" t="s">
        <v>1230</v>
      </c>
      <c r="G307" s="15">
        <v>4.1900000000000004</v>
      </c>
      <c r="H307" s="14"/>
      <c r="I307" s="14"/>
      <c r="J307" s="15">
        <f t="shared" si="9"/>
        <v>32.269999999999996</v>
      </c>
      <c r="K307" s="14"/>
      <c r="L307" s="14"/>
      <c r="M307" s="15">
        <f t="shared" si="8"/>
        <v>32.269999999999996</v>
      </c>
      <c r="N307" s="14" t="str">
        <f>VLOOKUP(A307,[2]Sheet1!$B$4:$F$352,3,0)</f>
        <v>DL1</v>
      </c>
      <c r="O307" s="16">
        <f>VLOOKUP(A307,[2]Sheet1!$B$4:$F$352,4,0)</f>
        <v>0</v>
      </c>
      <c r="P307" s="16"/>
      <c r="Q307" s="16">
        <f>VLOOKUP(A307,[2]Sheet1!$B$4:$F$352,4,0)</f>
        <v>0</v>
      </c>
      <c r="R307" s="17">
        <f>VLOOKUP(A307,[1]Sheet1!$A$2:$F$379,3,0)</f>
        <v>7</v>
      </c>
      <c r="S307" s="16">
        <f>VLOOKUP(A307,[1]Sheet1!$A$2:$F$379,4,0)</f>
        <v>14</v>
      </c>
      <c r="T307" s="16" t="str">
        <f>VLOOKUP(A307,[1]Sheet1!$A$2:$F$379,5,0)</f>
        <v>228±2</v>
      </c>
      <c r="U307" s="16"/>
      <c r="V307" s="16"/>
      <c r="W307" s="16"/>
      <c r="X307" s="16"/>
      <c r="Y307" s="18" t="e">
        <f>VLOOKUP(A307,[3]Combi!$A$1:$B$304,2,0)</f>
        <v>#N/A</v>
      </c>
      <c r="Z307" s="22" t="s">
        <v>1314</v>
      </c>
    </row>
    <row r="308" spans="1:26" s="18" customFormat="1" x14ac:dyDescent="0.25">
      <c r="A308" s="13" t="s">
        <v>920</v>
      </c>
      <c r="B308" s="14" t="str">
        <f>VLOOKUP(A308,[1]Sheet1!$A$2:$F$379,2,0)</f>
        <v>17341-0Y080</v>
      </c>
      <c r="C308" s="14" t="s">
        <v>117</v>
      </c>
      <c r="D308" s="14" t="s">
        <v>1224</v>
      </c>
      <c r="E308" s="15">
        <v>33.07</v>
      </c>
      <c r="F308" s="14" t="s">
        <v>1225</v>
      </c>
      <c r="G308" s="15">
        <v>28.45</v>
      </c>
      <c r="H308" s="14" t="s">
        <v>1226</v>
      </c>
      <c r="I308" s="15">
        <v>73.59</v>
      </c>
      <c r="J308" s="15">
        <f t="shared" si="9"/>
        <v>135.11000000000001</v>
      </c>
      <c r="K308" s="14" t="s">
        <v>1264</v>
      </c>
      <c r="L308" s="15">
        <v>3.56</v>
      </c>
      <c r="M308" s="15">
        <f t="shared" si="8"/>
        <v>138.67000000000002</v>
      </c>
      <c r="N308" s="14" t="e">
        <f>VLOOKUP(A308,[2]Sheet1!$B$4:$F$352,3,0)</f>
        <v>#N/A</v>
      </c>
      <c r="O308" s="16" t="e">
        <f>VLOOKUP(A308,[2]Sheet1!$B$4:$F$352,4,0)</f>
        <v>#N/A</v>
      </c>
      <c r="P308" s="16"/>
      <c r="Q308" s="16" t="e">
        <f>VLOOKUP(A308,[2]Sheet1!$B$4:$F$352,4,0)</f>
        <v>#N/A</v>
      </c>
      <c r="R308" s="17">
        <f>VLOOKUP(A308,[1]Sheet1!$A$2:$F$379,3,0)</f>
        <v>7.5</v>
      </c>
      <c r="S308" s="16">
        <f>VLOOKUP(A308,[1]Sheet1!$A$2:$F$379,4,0)</f>
        <v>16</v>
      </c>
      <c r="T308" s="16">
        <f>VLOOKUP(A308,[1]Sheet1!$A$2:$F$379,5,0)</f>
        <v>667</v>
      </c>
      <c r="U308" s="16" t="str">
        <f>VLOOKUP(A308,[1]Sheet1!$A$2:$F$379,6,0)</f>
        <v>653±4</v>
      </c>
      <c r="V308" s="16"/>
      <c r="W308" s="16"/>
      <c r="X308" s="16"/>
      <c r="Y308" s="18" t="str">
        <f>VLOOKUP(A308,[3]Combi!$A$1:$B$304,2,0)</f>
        <v>SOP/PROD/HOSE/SPS/3/2</v>
      </c>
    </row>
    <row r="309" spans="1:26" s="18" customFormat="1" x14ac:dyDescent="0.25">
      <c r="A309" s="13" t="s">
        <v>1088</v>
      </c>
      <c r="B309" s="14" t="str">
        <f>VLOOKUP(A309,[1]Sheet1!$A$2:$F$379,2,0)</f>
        <v>17341-0Y081</v>
      </c>
      <c r="C309" s="14" t="s">
        <v>543</v>
      </c>
      <c r="D309" s="14" t="s">
        <v>1224</v>
      </c>
      <c r="E309" s="15">
        <v>33.07</v>
      </c>
      <c r="F309" s="14" t="s">
        <v>1225</v>
      </c>
      <c r="G309" s="15">
        <v>28.45</v>
      </c>
      <c r="H309" s="14" t="s">
        <v>1226</v>
      </c>
      <c r="I309" s="15">
        <v>73.59</v>
      </c>
      <c r="J309" s="15">
        <f t="shared" si="9"/>
        <v>135.11000000000001</v>
      </c>
      <c r="K309" s="14" t="s">
        <v>1264</v>
      </c>
      <c r="L309" s="15">
        <v>3.56</v>
      </c>
      <c r="M309" s="15">
        <f t="shared" si="8"/>
        <v>138.67000000000002</v>
      </c>
      <c r="N309" s="14" t="str">
        <f>VLOOKUP(A309,[2]Sheet1!$B$4:$F$352,3,0)</f>
        <v>CHS3L</v>
      </c>
      <c r="O309" s="16">
        <f>VLOOKUP(A309,[2]Sheet1!$B$4:$F$352,4,0)</f>
        <v>2</v>
      </c>
      <c r="P309" s="16"/>
      <c r="Q309" s="16">
        <f>VLOOKUP(A309,[2]Sheet1!$B$4:$F$352,4,0)</f>
        <v>2</v>
      </c>
      <c r="R309" s="17">
        <f>VLOOKUP(A309,[1]Sheet1!$A$2:$F$379,3,0)</f>
        <v>7.5</v>
      </c>
      <c r="S309" s="16">
        <f>VLOOKUP(A309,[1]Sheet1!$A$2:$F$379,4,0)</f>
        <v>16</v>
      </c>
      <c r="T309" s="16">
        <f>VLOOKUP(A309,[1]Sheet1!$A$2:$F$379,5,0)</f>
        <v>682</v>
      </c>
      <c r="U309" s="16" t="str">
        <f>VLOOKUP(A309,[1]Sheet1!$A$2:$F$379,6,0)</f>
        <v>668±4</v>
      </c>
      <c r="V309" s="16"/>
      <c r="W309" s="16"/>
      <c r="X309" s="16"/>
      <c r="Y309" s="18" t="str">
        <f>VLOOKUP(A309,[3]Combi!$A$1:$B$304,2,0)</f>
        <v>SOP/PROD/HOSE/SPS/3/2</v>
      </c>
    </row>
    <row r="310" spans="1:26" s="18" customFormat="1" x14ac:dyDescent="0.25">
      <c r="A310" s="13" t="s">
        <v>1081</v>
      </c>
      <c r="B310" s="14" t="str">
        <f>VLOOKUP(A310,[1]Sheet1!$A$2:$F$379,2,0)</f>
        <v>17343-0Y021</v>
      </c>
      <c r="C310" s="14" t="s">
        <v>525</v>
      </c>
      <c r="D310" s="14" t="s">
        <v>1224</v>
      </c>
      <c r="E310" s="15">
        <v>24.4</v>
      </c>
      <c r="F310" s="14" t="s">
        <v>1225</v>
      </c>
      <c r="G310" s="15">
        <v>20.99</v>
      </c>
      <c r="H310" s="14" t="s">
        <v>1226</v>
      </c>
      <c r="I310" s="15">
        <v>54.3</v>
      </c>
      <c r="J310" s="15">
        <f t="shared" si="9"/>
        <v>99.69</v>
      </c>
      <c r="K310" s="14" t="s">
        <v>1264</v>
      </c>
      <c r="L310" s="15">
        <v>2.63</v>
      </c>
      <c r="M310" s="15">
        <f t="shared" si="8"/>
        <v>102.32</v>
      </c>
      <c r="N310" s="14" t="str">
        <f>VLOOKUP(A310,[2]Sheet1!$B$4:$F$352,3,0)</f>
        <v>CHS3L</v>
      </c>
      <c r="O310" s="16">
        <f>VLOOKUP(A310,[2]Sheet1!$B$4:$F$352,4,0)</f>
        <v>1</v>
      </c>
      <c r="P310" s="16"/>
      <c r="Q310" s="16">
        <f>VLOOKUP(A310,[2]Sheet1!$B$4:$F$352,4,0)</f>
        <v>1</v>
      </c>
      <c r="R310" s="17">
        <f>VLOOKUP(A310,[1]Sheet1!$A$2:$F$379,3,0)</f>
        <v>7.5</v>
      </c>
      <c r="S310" s="16">
        <f>VLOOKUP(A310,[1]Sheet1!$A$2:$F$379,4,0)</f>
        <v>16</v>
      </c>
      <c r="T310" s="16">
        <f>VLOOKUP(A310,[1]Sheet1!$A$2:$F$379,5,0)</f>
        <v>492</v>
      </c>
      <c r="U310" s="16" t="str">
        <f>VLOOKUP(A310,[1]Sheet1!$A$2:$F$379,6,0)</f>
        <v>481±3</v>
      </c>
      <c r="V310" s="16"/>
      <c r="W310" s="16"/>
      <c r="X310" s="16"/>
      <c r="Y310" s="18" t="str">
        <f>VLOOKUP(A310,[3]Combi!$A$1:$B$304,2,0)</f>
        <v>SOP/PROD/HOSE/SPS/3/2</v>
      </c>
    </row>
    <row r="311" spans="1:26" s="18" customFormat="1" x14ac:dyDescent="0.25">
      <c r="A311" s="13" t="s">
        <v>938</v>
      </c>
      <c r="B311" s="14" t="str">
        <f>VLOOKUP(A311,[1]Sheet1!$A$2:$F$379,2,0)</f>
        <v>44772-0D470</v>
      </c>
      <c r="C311" s="14" t="s">
        <v>162</v>
      </c>
      <c r="D311" s="14" t="s">
        <v>1224</v>
      </c>
      <c r="E311" s="15">
        <v>6.9</v>
      </c>
      <c r="F311" s="14" t="s">
        <v>1225</v>
      </c>
      <c r="G311" s="15">
        <v>5.64</v>
      </c>
      <c r="H311" s="14" t="s">
        <v>1226</v>
      </c>
      <c r="I311" s="15">
        <v>15.4</v>
      </c>
      <c r="J311" s="15">
        <f t="shared" si="9"/>
        <v>27.939999999999998</v>
      </c>
      <c r="K311" s="14" t="s">
        <v>1264</v>
      </c>
      <c r="L311" s="15">
        <v>0.68</v>
      </c>
      <c r="M311" s="15">
        <f t="shared" si="8"/>
        <v>28.620000000000005</v>
      </c>
      <c r="N311" s="14" t="str">
        <f>VLOOKUP(A311,[2]Sheet1!$B$4:$F$352,3,0)</f>
        <v>CHS3L</v>
      </c>
      <c r="O311" s="16">
        <f>VLOOKUP(A311,[2]Sheet1!$B$4:$F$352,4,0)</f>
        <v>0</v>
      </c>
      <c r="P311" s="16"/>
      <c r="Q311" s="16">
        <f>VLOOKUP(A311,[2]Sheet1!$B$4:$F$352,4,0)</f>
        <v>0</v>
      </c>
      <c r="R311" s="17">
        <f>VLOOKUP(A311,[1]Sheet1!$A$2:$F$379,3,0)</f>
        <v>8.73</v>
      </c>
      <c r="S311" s="16">
        <f>VLOOKUP(A311,[1]Sheet1!$A$2:$F$379,4,0)</f>
        <v>17.46</v>
      </c>
      <c r="T311" s="16">
        <f>VLOOKUP(A311,[1]Sheet1!$A$2:$F$379,5,0)</f>
        <v>136</v>
      </c>
      <c r="U311" s="16" t="str">
        <f>VLOOKUP(A311,[1]Sheet1!$A$2:$F$379,6,0)</f>
        <v>130-135</v>
      </c>
      <c r="V311" s="16"/>
      <c r="W311" s="16"/>
      <c r="X311" s="16"/>
      <c r="Y311" s="18" t="str">
        <f>VLOOKUP(A311,[3]Combi!$A$1:$B$304,2,0)</f>
        <v>SOP/PROD/HOSE/SPS/3/6</v>
      </c>
    </row>
    <row r="312" spans="1:26" s="18" customFormat="1" x14ac:dyDescent="0.25">
      <c r="A312" s="13" t="s">
        <v>939</v>
      </c>
      <c r="B312" s="14" t="str">
        <f>VLOOKUP(A312,[1]Sheet1!$A$2:$F$379,2,0)</f>
        <v>44772-0D480</v>
      </c>
      <c r="C312" s="14" t="s">
        <v>164</v>
      </c>
      <c r="D312" s="14" t="s">
        <v>1224</v>
      </c>
      <c r="E312" s="15">
        <v>6.9</v>
      </c>
      <c r="F312" s="14" t="s">
        <v>1225</v>
      </c>
      <c r="G312" s="15">
        <v>5.64</v>
      </c>
      <c r="H312" s="14" t="s">
        <v>1226</v>
      </c>
      <c r="I312" s="15">
        <v>15.4</v>
      </c>
      <c r="J312" s="15">
        <f t="shared" si="9"/>
        <v>27.939999999999998</v>
      </c>
      <c r="K312" s="14" t="s">
        <v>1264</v>
      </c>
      <c r="L312" s="15">
        <v>0.68</v>
      </c>
      <c r="M312" s="15">
        <f t="shared" si="8"/>
        <v>28.620000000000005</v>
      </c>
      <c r="N312" s="14" t="str">
        <f>VLOOKUP(A312,[2]Sheet1!$B$4:$F$352,3,0)</f>
        <v>CHS3L</v>
      </c>
      <c r="O312" s="16">
        <f>VLOOKUP(A312,[2]Sheet1!$B$4:$F$352,4,0)</f>
        <v>0</v>
      </c>
      <c r="P312" s="16"/>
      <c r="Q312" s="16">
        <f>VLOOKUP(A312,[2]Sheet1!$B$4:$F$352,4,0)</f>
        <v>0</v>
      </c>
      <c r="R312" s="17">
        <f>VLOOKUP(A312,[1]Sheet1!$A$2:$F$379,3,0)</f>
        <v>8.73</v>
      </c>
      <c r="S312" s="16">
        <f>VLOOKUP(A312,[1]Sheet1!$A$2:$F$379,4,0)</f>
        <v>17.46</v>
      </c>
      <c r="T312" s="16">
        <f>VLOOKUP(A312,[1]Sheet1!$A$2:$F$379,5,0)</f>
        <v>136</v>
      </c>
      <c r="U312" s="16" t="str">
        <f>VLOOKUP(A312,[1]Sheet1!$A$2:$F$379,6,0)</f>
        <v>130-135</v>
      </c>
      <c r="V312" s="16"/>
      <c r="W312" s="16"/>
      <c r="X312" s="16"/>
      <c r="Y312" s="18" t="str">
        <f>VLOOKUP(A312,[3]Combi!$A$1:$B$304,2,0)</f>
        <v>SOP/PROD/HOSE/SPS/3/6</v>
      </c>
    </row>
    <row r="313" spans="1:26" s="18" customFormat="1" x14ac:dyDescent="0.25">
      <c r="A313" s="13" t="s">
        <v>935</v>
      </c>
      <c r="B313" s="14" t="str">
        <f>VLOOKUP(A313,[1]Sheet1!$A$2:$F$379,2,0)</f>
        <v>44771-0D230</v>
      </c>
      <c r="C313" s="14" t="s">
        <v>154</v>
      </c>
      <c r="D313" s="14" t="s">
        <v>1224</v>
      </c>
      <c r="E313" s="15">
        <v>8.86</v>
      </c>
      <c r="F313" s="14" t="s">
        <v>1225</v>
      </c>
      <c r="G313" s="15">
        <v>7.24</v>
      </c>
      <c r="H313" s="14" t="s">
        <v>1226</v>
      </c>
      <c r="I313" s="15">
        <v>19.739999999999998</v>
      </c>
      <c r="J313" s="15">
        <f t="shared" si="9"/>
        <v>35.840000000000003</v>
      </c>
      <c r="K313" s="14" t="s">
        <v>1264</v>
      </c>
      <c r="L313" s="15">
        <v>0.88</v>
      </c>
      <c r="M313" s="15">
        <f t="shared" si="8"/>
        <v>36.72</v>
      </c>
      <c r="N313" s="14" t="str">
        <f>VLOOKUP(A313,[2]Sheet1!$B$4:$F$352,3,0)</f>
        <v>CHS3L</v>
      </c>
      <c r="O313" s="16">
        <f>VLOOKUP(A313,[2]Sheet1!$B$4:$F$352,4,0)</f>
        <v>0</v>
      </c>
      <c r="P313" s="16"/>
      <c r="Q313" s="16">
        <f>VLOOKUP(A313,[2]Sheet1!$B$4:$F$352,4,0)</f>
        <v>0</v>
      </c>
      <c r="R313" s="17">
        <f>VLOOKUP(A313,[1]Sheet1!$A$2:$F$379,3,0)</f>
        <v>8.73</v>
      </c>
      <c r="S313" s="16">
        <f>VLOOKUP(A313,[1]Sheet1!$A$2:$F$379,4,0)</f>
        <v>17.46</v>
      </c>
      <c r="T313" s="16">
        <f>VLOOKUP(A313,[1]Sheet1!$A$2:$F$379,5,0)</f>
        <v>174</v>
      </c>
      <c r="U313" s="16" t="str">
        <f>VLOOKUP(A313,[1]Sheet1!$A$2:$F$379,6,0)</f>
        <v>167-173</v>
      </c>
      <c r="V313" s="16"/>
      <c r="W313" s="16"/>
      <c r="X313" s="16"/>
      <c r="Y313" s="18" t="str">
        <f>VLOOKUP(A313,[3]Combi!$A$1:$B$304,2,0)</f>
        <v>SOP/PROD/HOSE/SPS/3/6</v>
      </c>
    </row>
    <row r="314" spans="1:26" s="18" customFormat="1" x14ac:dyDescent="0.25">
      <c r="A314" s="13" t="s">
        <v>947</v>
      </c>
      <c r="B314" s="14" t="str">
        <f>VLOOKUP(A314,[1]Sheet1!$A$2:$F$379,2,0)</f>
        <v>44771-0D220</v>
      </c>
      <c r="C314" s="14" t="s">
        <v>209</v>
      </c>
      <c r="D314" s="14" t="s">
        <v>1224</v>
      </c>
      <c r="E314" s="15">
        <v>10.61</v>
      </c>
      <c r="F314" s="14" t="s">
        <v>1225</v>
      </c>
      <c r="G314" s="15">
        <v>8.67</v>
      </c>
      <c r="H314" s="14" t="s">
        <v>1226</v>
      </c>
      <c r="I314" s="15">
        <v>23.67</v>
      </c>
      <c r="J314" s="15">
        <f t="shared" si="9"/>
        <v>42.95</v>
      </c>
      <c r="K314" s="14" t="s">
        <v>1264</v>
      </c>
      <c r="L314" s="15">
        <v>1.05</v>
      </c>
      <c r="M314" s="15">
        <f t="shared" si="8"/>
        <v>44</v>
      </c>
      <c r="N314" s="14" t="str">
        <f>VLOOKUP(A314,[2]Sheet1!$B$4:$F$352,3,0)</f>
        <v>CHS3L</v>
      </c>
      <c r="O314" s="16">
        <f>VLOOKUP(A314,[2]Sheet1!$B$4:$F$352,4,0)</f>
        <v>0</v>
      </c>
      <c r="P314" s="16"/>
      <c r="Q314" s="16">
        <f>VLOOKUP(A314,[2]Sheet1!$B$4:$F$352,4,0)</f>
        <v>0</v>
      </c>
      <c r="R314" s="17">
        <f>VLOOKUP(A314,[1]Sheet1!$A$2:$F$379,3,0)</f>
        <v>8.73</v>
      </c>
      <c r="S314" s="16">
        <f>VLOOKUP(A314,[1]Sheet1!$A$2:$F$379,4,0)</f>
        <v>17.46</v>
      </c>
      <c r="T314" s="16">
        <f>VLOOKUP(A314,[1]Sheet1!$A$2:$F$379,5,0)</f>
        <v>208</v>
      </c>
      <c r="U314" s="16" t="str">
        <f>VLOOKUP(A314,[1]Sheet1!$A$2:$F$379,6,0)</f>
        <v>204-206</v>
      </c>
      <c r="V314" s="16"/>
      <c r="W314" s="16"/>
      <c r="X314" s="16"/>
      <c r="Y314" s="18" t="str">
        <f>VLOOKUP(A314,[3]Combi!$A$1:$B$304,2,0)</f>
        <v>SOP/PROD/HOSE/SPS/3/6</v>
      </c>
    </row>
    <row r="315" spans="1:26" s="18" customFormat="1" x14ac:dyDescent="0.25">
      <c r="A315" s="13" t="s">
        <v>944</v>
      </c>
      <c r="B315" s="14" t="str">
        <f>VLOOKUP(A315,[1]Sheet1!$A$2:$F$379,2,0)</f>
        <v>17342-0Y090</v>
      </c>
      <c r="C315" s="14" t="s">
        <v>197</v>
      </c>
      <c r="D315" s="14" t="s">
        <v>1224</v>
      </c>
      <c r="E315" s="15">
        <v>18.440000000000001</v>
      </c>
      <c r="F315" s="14" t="s">
        <v>1225</v>
      </c>
      <c r="G315" s="15">
        <v>15.66</v>
      </c>
      <c r="H315" s="14" t="s">
        <v>1226</v>
      </c>
      <c r="I315" s="15">
        <v>41.03</v>
      </c>
      <c r="J315" s="15">
        <f t="shared" si="9"/>
        <v>75.13</v>
      </c>
      <c r="K315" s="14" t="s">
        <v>1264</v>
      </c>
      <c r="L315" s="15">
        <v>1.99</v>
      </c>
      <c r="M315" s="15">
        <f t="shared" si="8"/>
        <v>77.12</v>
      </c>
      <c r="N315" s="14" t="str">
        <f>VLOOKUP(A315,[2]Sheet1!$B$4:$F$352,3,0)</f>
        <v>CHS3L</v>
      </c>
      <c r="O315" s="16">
        <f>VLOOKUP(A315,[2]Sheet1!$B$4:$F$352,4,0)</f>
        <v>0</v>
      </c>
      <c r="P315" s="16"/>
      <c r="Q315" s="16">
        <f>VLOOKUP(A315,[2]Sheet1!$B$4:$F$352,4,0)</f>
        <v>0</v>
      </c>
      <c r="R315" s="17">
        <f>VLOOKUP(A315,[1]Sheet1!$A$2:$F$379,3,0)</f>
        <v>7.5</v>
      </c>
      <c r="S315" s="16">
        <f>VLOOKUP(A315,[1]Sheet1!$A$2:$F$379,4,0)</f>
        <v>16</v>
      </c>
      <c r="T315" s="16">
        <f>VLOOKUP(A315,[1]Sheet1!$A$2:$F$379,5,0)</f>
        <v>373</v>
      </c>
      <c r="U315" s="16" t="str">
        <f>VLOOKUP(A315,[1]Sheet1!$A$2:$F$379,6,0)</f>
        <v>364±2</v>
      </c>
      <c r="V315" s="16"/>
      <c r="W315" s="16"/>
      <c r="X315" s="16"/>
      <c r="Y315" s="18" t="str">
        <f>VLOOKUP(A315,[3]Combi!$A$1:$B$304,2,0)</f>
        <v>SOP/PROD/HOSE/SPS/3/2</v>
      </c>
    </row>
    <row r="316" spans="1:26" s="18" customFormat="1" x14ac:dyDescent="0.25">
      <c r="A316" s="13" t="s">
        <v>919</v>
      </c>
      <c r="B316" s="14" t="str">
        <f>VLOOKUP(A316,[1]Sheet1!$A$2:$F$379,2,0)</f>
        <v>44772-0D460</v>
      </c>
      <c r="C316" s="14" t="s">
        <v>113</v>
      </c>
      <c r="D316" s="14" t="s">
        <v>1224</v>
      </c>
      <c r="E316" s="15">
        <v>6.59</v>
      </c>
      <c r="F316" s="14" t="s">
        <v>1225</v>
      </c>
      <c r="G316" s="15">
        <v>5.39</v>
      </c>
      <c r="H316" s="14" t="s">
        <v>1226</v>
      </c>
      <c r="I316" s="15">
        <v>14.71</v>
      </c>
      <c r="J316" s="15">
        <f t="shared" si="9"/>
        <v>26.69</v>
      </c>
      <c r="K316" s="14" t="s">
        <v>1264</v>
      </c>
      <c r="L316" s="15">
        <v>0.65</v>
      </c>
      <c r="M316" s="15">
        <f t="shared" si="8"/>
        <v>27.34</v>
      </c>
      <c r="N316" s="14" t="str">
        <f>VLOOKUP(A316,[2]Sheet1!$B$4:$F$352,3,0)</f>
        <v>CHS3L</v>
      </c>
      <c r="O316" s="16">
        <f>VLOOKUP(A316,[2]Sheet1!$B$4:$F$352,4,0)</f>
        <v>0</v>
      </c>
      <c r="P316" s="16"/>
      <c r="Q316" s="16">
        <f>VLOOKUP(A316,[2]Sheet1!$B$4:$F$352,4,0)</f>
        <v>0</v>
      </c>
      <c r="R316" s="17">
        <f>VLOOKUP(A316,[1]Sheet1!$A$2:$F$379,3,0)</f>
        <v>8.73</v>
      </c>
      <c r="S316" s="16">
        <f>VLOOKUP(A316,[1]Sheet1!$A$2:$F$379,4,0)</f>
        <v>17.46</v>
      </c>
      <c r="T316" s="16">
        <f>VLOOKUP(A316,[1]Sheet1!$A$2:$F$379,5,0)</f>
        <v>130</v>
      </c>
      <c r="U316" s="16" t="str">
        <f>VLOOKUP(A316,[1]Sheet1!$A$2:$F$379,6,0)</f>
        <v>124-129</v>
      </c>
      <c r="V316" s="16"/>
      <c r="W316" s="16"/>
      <c r="X316" s="16"/>
      <c r="Y316" s="18" t="str">
        <f>VLOOKUP(A316,[3]Combi!$A$1:$B$304,2,0)</f>
        <v>SOP/PROD/HOSE/SPS/3/6</v>
      </c>
    </row>
    <row r="317" spans="1:26" s="18" customFormat="1" x14ac:dyDescent="0.25">
      <c r="A317" s="13" t="s">
        <v>943</v>
      </c>
      <c r="B317" s="14" t="str">
        <f>VLOOKUP(A317,[1]Sheet1!$A$2:$F$379,2,0)</f>
        <v>44770-0D170</v>
      </c>
      <c r="C317" s="14" t="s">
        <v>195</v>
      </c>
      <c r="D317" s="14" t="s">
        <v>1224</v>
      </c>
      <c r="E317" s="15">
        <v>14.63</v>
      </c>
      <c r="F317" s="14" t="s">
        <v>1225</v>
      </c>
      <c r="G317" s="15">
        <v>11.96</v>
      </c>
      <c r="H317" s="14" t="s">
        <v>1226</v>
      </c>
      <c r="I317" s="15">
        <v>32.630000000000003</v>
      </c>
      <c r="J317" s="15">
        <f t="shared" si="9"/>
        <v>59.220000000000006</v>
      </c>
      <c r="K317" s="14" t="s">
        <v>1264</v>
      </c>
      <c r="L317" s="15">
        <v>1.45</v>
      </c>
      <c r="M317" s="15">
        <f t="shared" si="8"/>
        <v>60.670000000000009</v>
      </c>
      <c r="N317" s="14" t="str">
        <f>VLOOKUP(A317,[2]Sheet1!$B$4:$F$352,3,0)</f>
        <v>CHS3L</v>
      </c>
      <c r="O317" s="16">
        <f>VLOOKUP(A317,[2]Sheet1!$B$4:$F$352,4,0)</f>
        <v>0</v>
      </c>
      <c r="P317" s="16"/>
      <c r="Q317" s="16">
        <f>VLOOKUP(A317,[2]Sheet1!$B$4:$F$352,4,0)</f>
        <v>0</v>
      </c>
      <c r="R317" s="17">
        <f>VLOOKUP(A317,[1]Sheet1!$A$2:$F$379,3,0)</f>
        <v>8.73</v>
      </c>
      <c r="S317" s="16">
        <f>VLOOKUP(A317,[1]Sheet1!$A$2:$F$379,4,0)</f>
        <v>17.46</v>
      </c>
      <c r="T317" s="16">
        <f>VLOOKUP(A317,[1]Sheet1!$A$2:$F$379,5,0)</f>
        <v>286</v>
      </c>
      <c r="U317" s="16"/>
      <c r="V317" s="16"/>
      <c r="W317" s="16"/>
      <c r="X317" s="16"/>
      <c r="Y317" s="18" t="str">
        <f>VLOOKUP(A317,[3]Combi!$A$1:$B$304,2,0)</f>
        <v>SOP/PROD/HOSE/SPS/3/6</v>
      </c>
    </row>
    <row r="318" spans="1:26" s="18" customFormat="1" x14ac:dyDescent="0.25">
      <c r="A318" s="13" t="s">
        <v>937</v>
      </c>
      <c r="B318" s="14" t="str">
        <f>VLOOKUP(A318,[1]Sheet1!$A$2:$F$379,2,0)</f>
        <v>44770-0D180</v>
      </c>
      <c r="C318" s="14" t="s">
        <v>160</v>
      </c>
      <c r="D318" s="14" t="s">
        <v>1224</v>
      </c>
      <c r="E318" s="15">
        <v>17.22</v>
      </c>
      <c r="F318" s="14" t="s">
        <v>1225</v>
      </c>
      <c r="G318" s="15">
        <v>14.84</v>
      </c>
      <c r="H318" s="14" t="s">
        <v>1226</v>
      </c>
      <c r="I318" s="15">
        <v>39.53</v>
      </c>
      <c r="J318" s="15">
        <f t="shared" si="9"/>
        <v>71.59</v>
      </c>
      <c r="K318" s="14" t="s">
        <v>1264</v>
      </c>
      <c r="L318" s="15">
        <v>1.75</v>
      </c>
      <c r="M318" s="15">
        <f t="shared" si="8"/>
        <v>73.34</v>
      </c>
      <c r="N318" s="14" t="str">
        <f>VLOOKUP(A318,[2]Sheet1!$B$4:$F$352,3,0)</f>
        <v>CHS3L</v>
      </c>
      <c r="O318" s="16">
        <f>VLOOKUP(A318,[2]Sheet1!$B$4:$F$352,4,0)</f>
        <v>0</v>
      </c>
      <c r="P318" s="16"/>
      <c r="Q318" s="16">
        <f>VLOOKUP(A318,[2]Sheet1!$B$4:$F$352,4,0)</f>
        <v>0</v>
      </c>
      <c r="R318" s="17">
        <f>VLOOKUP(A318,[1]Sheet1!$A$2:$F$379,3,0)</f>
        <v>8.73</v>
      </c>
      <c r="S318" s="16">
        <f>VLOOKUP(A318,[1]Sheet1!$A$2:$F$379,4,0)</f>
        <v>17.46</v>
      </c>
      <c r="T318" s="16">
        <f>VLOOKUP(A318,[1]Sheet1!$A$2:$F$379,5,0)</f>
        <v>350</v>
      </c>
      <c r="U318" s="16" t="str">
        <f>VLOOKUP(A318,[1]Sheet1!$A$2:$F$379,6,0)</f>
        <v>343-346</v>
      </c>
      <c r="V318" s="16"/>
      <c r="W318" s="16"/>
      <c r="X318" s="16"/>
      <c r="Y318" s="18" t="str">
        <f>VLOOKUP(A318,[3]Combi!$A$1:$B$304,2,0)</f>
        <v>SOP/PROD/HOSE/SPS/3/6</v>
      </c>
    </row>
    <row r="319" spans="1:26" s="18" customFormat="1" x14ac:dyDescent="0.25">
      <c r="A319" s="13" t="s">
        <v>940</v>
      </c>
      <c r="B319" s="14" t="str">
        <f>VLOOKUP(A319,[1]Sheet1!$A$2:$F$379,2,0)</f>
        <v>12262-0Y130</v>
      </c>
      <c r="C319" s="14" t="s">
        <v>166</v>
      </c>
      <c r="D319" s="14" t="s">
        <v>1235</v>
      </c>
      <c r="E319" s="15">
        <v>61.7</v>
      </c>
      <c r="F319" s="14" t="s">
        <v>1230</v>
      </c>
      <c r="G319" s="15">
        <v>11.73</v>
      </c>
      <c r="H319" s="14"/>
      <c r="I319" s="14"/>
      <c r="J319" s="15">
        <f t="shared" si="9"/>
        <v>73.430000000000007</v>
      </c>
      <c r="K319" s="14"/>
      <c r="L319" s="14"/>
      <c r="M319" s="15">
        <f t="shared" si="8"/>
        <v>73.430000000000007</v>
      </c>
      <c r="N319" s="14" t="str">
        <f>VLOOKUP(A319,[2]Sheet1!$B$4:$F$352,3,0)</f>
        <v>DL2</v>
      </c>
      <c r="O319" s="16">
        <f>VLOOKUP(A319,[2]Sheet1!$B$4:$F$352,4,0)</f>
        <v>0</v>
      </c>
      <c r="P319" s="16"/>
      <c r="Q319" s="16">
        <f>VLOOKUP(A319,[2]Sheet1!$B$4:$F$352,4,0)</f>
        <v>0</v>
      </c>
      <c r="R319" s="17">
        <f>VLOOKUP(A319,[1]Sheet1!$A$2:$F$379,3,0)</f>
        <v>15</v>
      </c>
      <c r="S319" s="16">
        <f>VLOOKUP(A319,[1]Sheet1!$A$2:$F$379,4,0)</f>
        <v>22</v>
      </c>
      <c r="T319" s="16" t="str">
        <f>VLOOKUP(A319,[1]Sheet1!$A$2:$F$379,5,0)</f>
        <v>288±2</v>
      </c>
      <c r="U319" s="16">
        <f>VLOOKUP(A319,[1]Sheet1!$A$2:$F$379,6,0)</f>
        <v>0</v>
      </c>
      <c r="V319" s="16"/>
      <c r="W319" s="16"/>
      <c r="X319" s="16"/>
      <c r="Y319" s="18" t="e">
        <f>VLOOKUP(A319,[3]Combi!$A$1:$B$304,2,0)</f>
        <v>#N/A</v>
      </c>
      <c r="Z319" s="22" t="s">
        <v>1296</v>
      </c>
    </row>
    <row r="320" spans="1:26" s="18" customFormat="1" x14ac:dyDescent="0.25">
      <c r="A320" s="13" t="s">
        <v>1087</v>
      </c>
      <c r="B320" s="14" t="str">
        <f>VLOOKUP(A320,[1]Sheet1!$A$2:$F$379,2,0)</f>
        <v>16571-0Y290</v>
      </c>
      <c r="C320" s="14" t="s">
        <v>541</v>
      </c>
      <c r="D320" s="14" t="s">
        <v>1236</v>
      </c>
      <c r="E320" s="15">
        <v>103.923</v>
      </c>
      <c r="F320" s="14" t="s">
        <v>1236</v>
      </c>
      <c r="G320" s="15">
        <v>69.281999999999996</v>
      </c>
      <c r="H320" s="14"/>
      <c r="I320" s="14"/>
      <c r="J320" s="15">
        <f t="shared" si="9"/>
        <v>173.20499999999998</v>
      </c>
      <c r="K320" s="14" t="s">
        <v>1266</v>
      </c>
      <c r="L320" s="15">
        <v>7.45</v>
      </c>
      <c r="M320" s="15">
        <f t="shared" si="8"/>
        <v>180.655</v>
      </c>
      <c r="N320" s="14" t="str">
        <f>VLOOKUP(A320,[2]Sheet1!$B$4:$F$352,3,0)</f>
        <v>CHS2L</v>
      </c>
      <c r="O320" s="16">
        <f>VLOOKUP(A320,[2]Sheet1!$B$4:$F$352,4,0)</f>
        <v>0</v>
      </c>
      <c r="P320" s="16"/>
      <c r="Q320" s="16">
        <f>VLOOKUP(A320,[2]Sheet1!$B$4:$F$352,4,0)</f>
        <v>0</v>
      </c>
      <c r="R320" s="17">
        <f>VLOOKUP(A320,[1]Sheet1!$A$2:$F$379,3,0)</f>
        <v>30</v>
      </c>
      <c r="S320" s="16">
        <f>VLOOKUP(A320,[1]Sheet1!$A$2:$F$379,4,0)</f>
        <v>38</v>
      </c>
      <c r="T320" s="16">
        <f>VLOOKUP(A320,[1]Sheet1!$A$2:$F$379,5,0)</f>
        <v>408</v>
      </c>
      <c r="U320" s="16" t="str">
        <f>VLOOKUP(A320,[1]Sheet1!$A$2:$F$379,6,0)</f>
        <v>407±1</v>
      </c>
      <c r="V320" s="16"/>
      <c r="W320" s="16"/>
      <c r="X320" s="16"/>
      <c r="Y320" s="18" t="str">
        <f>VLOOKUP(A320,[3]Combi!$A$1:$B$304,2,0)</f>
        <v>SOP/PROD/HOSE/SPS/2/4</v>
      </c>
    </row>
    <row r="321" spans="1:25" s="18" customFormat="1" x14ac:dyDescent="0.25">
      <c r="A321" s="13" t="s">
        <v>1087</v>
      </c>
      <c r="B321" s="14" t="str">
        <f>VLOOKUP(A321,[1]Sheet1!$A$2:$F$379,2,0)</f>
        <v>16571-0Y290</v>
      </c>
      <c r="C321" s="14" t="s">
        <v>541</v>
      </c>
      <c r="D321" s="14" t="s">
        <v>1237</v>
      </c>
      <c r="E321" s="15">
        <v>215</v>
      </c>
      <c r="F321" s="14"/>
      <c r="G321" s="14"/>
      <c r="H321" s="14"/>
      <c r="I321" s="14"/>
      <c r="J321" s="15">
        <f t="shared" si="9"/>
        <v>215</v>
      </c>
      <c r="K321" s="14" t="s">
        <v>1266</v>
      </c>
      <c r="L321" s="15">
        <v>7.45</v>
      </c>
      <c r="M321" s="15">
        <f t="shared" si="8"/>
        <v>222.45</v>
      </c>
      <c r="N321" s="14" t="str">
        <f>VLOOKUP(A321,[2]Sheet1!$B$4:$F$352,3,0)</f>
        <v>CHS2L</v>
      </c>
      <c r="O321" s="16">
        <f>VLOOKUP(A321,[2]Sheet1!$B$4:$F$352,4,0)</f>
        <v>0</v>
      </c>
      <c r="P321" s="16"/>
      <c r="Q321" s="16">
        <f>VLOOKUP(A321,[2]Sheet1!$B$4:$F$352,4,0)</f>
        <v>0</v>
      </c>
      <c r="R321" s="17">
        <f>VLOOKUP(A321,[1]Sheet1!$A$2:$F$379,3,0)</f>
        <v>30</v>
      </c>
      <c r="S321" s="16">
        <f>VLOOKUP(A321,[1]Sheet1!$A$2:$F$379,4,0)</f>
        <v>38</v>
      </c>
      <c r="T321" s="16">
        <f>VLOOKUP(A321,[1]Sheet1!$A$2:$F$379,5,0)</f>
        <v>408</v>
      </c>
      <c r="U321" s="16" t="str">
        <f>VLOOKUP(A321,[1]Sheet1!$A$2:$F$379,6,0)</f>
        <v>407±1</v>
      </c>
      <c r="V321" s="16"/>
      <c r="W321" s="16"/>
      <c r="X321" s="16"/>
      <c r="Y321" s="18" t="str">
        <f>VLOOKUP(A321,[3]Combi!$A$1:$B$304,2,0)</f>
        <v>SOP/PROD/HOSE/SPS/2/4</v>
      </c>
    </row>
    <row r="322" spans="1:25" s="18" customFormat="1" x14ac:dyDescent="0.25">
      <c r="A322" s="13" t="s">
        <v>1086</v>
      </c>
      <c r="B322" s="14" t="str">
        <f>VLOOKUP(A322,[1]Sheet1!$A$2:$F$379,2,0)</f>
        <v>23826-0Y340</v>
      </c>
      <c r="C322" s="14" t="s">
        <v>539</v>
      </c>
      <c r="D322" s="14" t="s">
        <v>1229</v>
      </c>
      <c r="E322" s="15">
        <v>45.52</v>
      </c>
      <c r="F322" s="14" t="s">
        <v>1230</v>
      </c>
      <c r="G322" s="15">
        <v>6.77</v>
      </c>
      <c r="H322" s="14"/>
      <c r="I322" s="14"/>
      <c r="J322" s="15">
        <f t="shared" si="9"/>
        <v>52.290000000000006</v>
      </c>
      <c r="K322" s="14"/>
      <c r="L322" s="14"/>
      <c r="M322" s="15">
        <f t="shared" ref="M322:M365" si="10">SUM(L322,I322,G322,E322)</f>
        <v>52.290000000000006</v>
      </c>
      <c r="N322" s="14" t="str">
        <f>VLOOKUP(A322,[2]Sheet1!$B$4:$F$352,3,0)</f>
        <v>DL1</v>
      </c>
      <c r="O322" s="16">
        <f>VLOOKUP(A322,[2]Sheet1!$B$4:$F$352,4,0)</f>
        <v>0</v>
      </c>
      <c r="P322" s="16"/>
      <c r="Q322" s="16">
        <f>VLOOKUP(A322,[2]Sheet1!$B$4:$F$352,4,0)</f>
        <v>0</v>
      </c>
      <c r="R322" s="17">
        <f>VLOOKUP(A322,[1]Sheet1!$A$2:$F$379,3,0)</f>
        <v>7</v>
      </c>
      <c r="S322" s="16">
        <f>VLOOKUP(A322,[1]Sheet1!$A$2:$F$379,4,0)</f>
        <v>14</v>
      </c>
      <c r="T322" s="16" t="str">
        <f>VLOOKUP(A322,[1]Sheet1!$A$2:$F$379,5,0)</f>
        <v>390±2</v>
      </c>
      <c r="U322" s="16">
        <f>VLOOKUP(A322,[1]Sheet1!$A$2:$F$379,6,0)</f>
        <v>0</v>
      </c>
      <c r="V322" s="16"/>
      <c r="W322" s="16"/>
      <c r="X322" s="16"/>
      <c r="Y322" s="18" t="str">
        <f>VLOOKUP(A322,[3]Combi!$A$1:$B$304,2,0)</f>
        <v>SOP/PROD/HOSE/SPS/1/7</v>
      </c>
    </row>
    <row r="323" spans="1:25" s="18" customFormat="1" x14ac:dyDescent="0.25">
      <c r="A323" s="13" t="s">
        <v>1082</v>
      </c>
      <c r="B323" s="14" t="str">
        <f>VLOOKUP(A323,[1]Sheet1!$A$2:$F$379,2,0)</f>
        <v>23827-0Y270</v>
      </c>
      <c r="C323" s="14" t="s">
        <v>527</v>
      </c>
      <c r="D323" s="14" t="s">
        <v>1229</v>
      </c>
      <c r="E323" s="15">
        <v>38.46</v>
      </c>
      <c r="F323" s="14" t="s">
        <v>1230</v>
      </c>
      <c r="G323" s="15">
        <v>5.73</v>
      </c>
      <c r="H323" s="14"/>
      <c r="I323" s="14"/>
      <c r="J323" s="15">
        <f t="shared" ref="J323:J365" si="11">E323+G323+I323</f>
        <v>44.19</v>
      </c>
      <c r="K323" s="14"/>
      <c r="L323" s="14"/>
      <c r="M323" s="15">
        <f t="shared" si="10"/>
        <v>44.19</v>
      </c>
      <c r="N323" s="14" t="str">
        <f>VLOOKUP(A323,[2]Sheet1!$B$4:$F$352,3,0)</f>
        <v>DL1</v>
      </c>
      <c r="O323" s="16">
        <f>VLOOKUP(A323,[2]Sheet1!$B$4:$F$352,4,0)</f>
        <v>0</v>
      </c>
      <c r="P323" s="16"/>
      <c r="Q323" s="16">
        <f>VLOOKUP(A323,[2]Sheet1!$B$4:$F$352,4,0)</f>
        <v>0</v>
      </c>
      <c r="R323" s="17">
        <f>VLOOKUP(A323,[1]Sheet1!$A$2:$F$379,3,0)</f>
        <v>7</v>
      </c>
      <c r="S323" s="16">
        <f>VLOOKUP(A323,[1]Sheet1!$A$2:$F$379,4,0)</f>
        <v>14</v>
      </c>
      <c r="T323" s="16" t="str">
        <f>VLOOKUP(A323,[1]Sheet1!$A$2:$F$379,5,0)</f>
        <v>340±2</v>
      </c>
      <c r="U323" s="16"/>
      <c r="V323" s="16"/>
      <c r="W323" s="16"/>
      <c r="X323" s="16"/>
      <c r="Y323" s="18" t="str">
        <f>VLOOKUP(A323,[3]Combi!$A$1:$B$304,2,0)</f>
        <v>SOP/PROD/HOSE/SPS/1/7</v>
      </c>
    </row>
    <row r="324" spans="1:25" s="18" customFormat="1" x14ac:dyDescent="0.25">
      <c r="A324" s="13" t="s">
        <v>1090</v>
      </c>
      <c r="B324" s="14" t="str">
        <f>VLOOKUP(A324,[1]Sheet1!$A$2:$F$379,2,0)</f>
        <v>23273-0L132-A(1)</v>
      </c>
      <c r="C324" s="14" t="s">
        <v>531</v>
      </c>
      <c r="D324" s="14" t="s">
        <v>1231</v>
      </c>
      <c r="E324" s="15">
        <v>6.09</v>
      </c>
      <c r="F324" s="14" t="s">
        <v>1232</v>
      </c>
      <c r="G324" s="15">
        <v>16.399999999999999</v>
      </c>
      <c r="H324" s="14" t="s">
        <v>1233</v>
      </c>
      <c r="I324" s="15">
        <v>26.43</v>
      </c>
      <c r="J324" s="15">
        <f t="shared" si="11"/>
        <v>48.92</v>
      </c>
      <c r="K324" s="14" t="s">
        <v>1263</v>
      </c>
      <c r="L324" s="15">
        <v>2.5299999999999998</v>
      </c>
      <c r="M324" s="15">
        <f t="shared" si="10"/>
        <v>51.45</v>
      </c>
      <c r="N324" s="14" t="str">
        <f>VLOOKUP(A324,[2]Sheet1!$B$4:$F$352,3,0)</f>
        <v>CHS3L</v>
      </c>
      <c r="O324" s="16">
        <f>VLOOKUP(A324,[2]Sheet1!$B$4:$F$352,4,0)</f>
        <v>1</v>
      </c>
      <c r="P324" s="16"/>
      <c r="Q324" s="16">
        <f>VLOOKUP(A324,[2]Sheet1!$B$4:$F$352,4,0)</f>
        <v>1</v>
      </c>
      <c r="R324" s="17">
        <f>VLOOKUP(A324,[1]Sheet1!$A$2:$F$379,3,0)</f>
        <v>7.6</v>
      </c>
      <c r="S324" s="16">
        <f>VLOOKUP(A324,[1]Sheet1!$A$2:$F$379,4,0)</f>
        <v>14</v>
      </c>
      <c r="T324" s="16">
        <f>VLOOKUP(A324,[1]Sheet1!$A$2:$F$379,5,0)</f>
        <v>376</v>
      </c>
      <c r="U324" s="16"/>
      <c r="V324" s="16"/>
      <c r="W324" s="16"/>
      <c r="X324" s="16"/>
      <c r="Y324" s="18" t="str">
        <f>VLOOKUP(A324,[3]Combi!$A$1:$B$304,2,0)</f>
        <v>SOP/PROD/HOSE/SPS/3/3</v>
      </c>
    </row>
    <row r="325" spans="1:25" s="18" customFormat="1" x14ac:dyDescent="0.25">
      <c r="A325" s="13" t="s">
        <v>1090</v>
      </c>
      <c r="B325" s="14" t="str">
        <f>VLOOKUP(A325,[1]Sheet1!$A$2:$F$379,2,0)</f>
        <v>23273-0L132-A(1)</v>
      </c>
      <c r="C325" s="14" t="s">
        <v>531</v>
      </c>
      <c r="D325" s="14" t="s">
        <v>1221</v>
      </c>
      <c r="E325" s="15">
        <v>7.12</v>
      </c>
      <c r="F325" s="14" t="s">
        <v>1222</v>
      </c>
      <c r="G325" s="15">
        <v>19.96</v>
      </c>
      <c r="H325" s="14" t="s">
        <v>1223</v>
      </c>
      <c r="I325" s="15">
        <v>20</v>
      </c>
      <c r="J325" s="15">
        <f t="shared" si="11"/>
        <v>47.08</v>
      </c>
      <c r="K325" s="14" t="s">
        <v>1263</v>
      </c>
      <c r="L325" s="15">
        <v>2.56</v>
      </c>
      <c r="M325" s="15">
        <f t="shared" si="10"/>
        <v>49.639999999999993</v>
      </c>
      <c r="N325" s="14" t="str">
        <f>VLOOKUP(A325,[2]Sheet1!$B$4:$F$352,3,0)</f>
        <v>CHS3L</v>
      </c>
      <c r="O325" s="16">
        <f>VLOOKUP(A325,[2]Sheet1!$B$4:$F$352,4,0)</f>
        <v>1</v>
      </c>
      <c r="P325" s="16"/>
      <c r="Q325" s="16">
        <f>VLOOKUP(A325,[2]Sheet1!$B$4:$F$352,4,0)</f>
        <v>1</v>
      </c>
      <c r="R325" s="17">
        <f>VLOOKUP(A325,[1]Sheet1!$A$2:$F$379,3,0)</f>
        <v>7.6</v>
      </c>
      <c r="S325" s="16">
        <f>VLOOKUP(A325,[1]Sheet1!$A$2:$F$379,4,0)</f>
        <v>14</v>
      </c>
      <c r="T325" s="16">
        <f>VLOOKUP(A325,[1]Sheet1!$A$2:$F$379,5,0)</f>
        <v>376</v>
      </c>
      <c r="U325" s="16" t="str">
        <f>VLOOKUP(A325,[1]Sheet1!$A$2:$F$379,6,0)</f>
        <v>362±2</v>
      </c>
      <c r="V325" s="16"/>
      <c r="W325" s="16"/>
      <c r="X325" s="16"/>
      <c r="Y325" s="18" t="str">
        <f>VLOOKUP(A325,[3]Combi!$A$1:$B$304,2,0)</f>
        <v>SOP/PROD/HOSE/SPS/3/3</v>
      </c>
    </row>
    <row r="326" spans="1:25" s="18" customFormat="1" x14ac:dyDescent="0.25">
      <c r="A326" s="13" t="s">
        <v>1083</v>
      </c>
      <c r="B326" s="14" t="str">
        <f>VLOOKUP(A326,[1]Sheet1!$A$2:$F$379,2,0)</f>
        <v>23273-0L132-A(2)</v>
      </c>
      <c r="C326" s="14" t="s">
        <v>531</v>
      </c>
      <c r="D326" s="14" t="s">
        <v>1231</v>
      </c>
      <c r="E326" s="15">
        <v>6.09</v>
      </c>
      <c r="F326" s="14" t="s">
        <v>1232</v>
      </c>
      <c r="G326" s="15">
        <v>16.399999999999999</v>
      </c>
      <c r="H326" s="14" t="s">
        <v>1233</v>
      </c>
      <c r="I326" s="15">
        <v>26.43</v>
      </c>
      <c r="J326" s="15">
        <f t="shared" si="11"/>
        <v>48.92</v>
      </c>
      <c r="K326" s="14" t="s">
        <v>1263</v>
      </c>
      <c r="L326" s="15">
        <v>2.5299999999999998</v>
      </c>
      <c r="M326" s="15">
        <f t="shared" si="10"/>
        <v>51.45</v>
      </c>
      <c r="N326" s="14" t="str">
        <f>VLOOKUP(A326,[2]Sheet1!$B$4:$F$352,3,0)</f>
        <v>CHS3L</v>
      </c>
      <c r="O326" s="16">
        <f>VLOOKUP(A326,[2]Sheet1!$B$4:$F$352,4,0)</f>
        <v>1</v>
      </c>
      <c r="P326" s="16"/>
      <c r="Q326" s="16">
        <f>VLOOKUP(A326,[2]Sheet1!$B$4:$F$352,4,0)</f>
        <v>1</v>
      </c>
      <c r="R326" s="17">
        <f>VLOOKUP(A326,[1]Sheet1!$A$2:$F$379,3,0)</f>
        <v>7.6</v>
      </c>
      <c r="S326" s="16">
        <f>VLOOKUP(A326,[1]Sheet1!$A$2:$F$379,4,0)</f>
        <v>14</v>
      </c>
      <c r="T326" s="16">
        <f>VLOOKUP(A326,[1]Sheet1!$A$2:$F$379,5,0)</f>
        <v>366</v>
      </c>
      <c r="U326" s="16" t="str">
        <f>VLOOKUP(A326,[1]Sheet1!$A$2:$F$379,6,0)</f>
        <v>352±2</v>
      </c>
      <c r="V326" s="16"/>
      <c r="W326" s="16"/>
      <c r="X326" s="16"/>
      <c r="Y326" s="18" t="str">
        <f>VLOOKUP(A326,[3]Combi!$A$1:$B$304,2,0)</f>
        <v>SOP/PROD/HOSE/SPS/3/3</v>
      </c>
    </row>
    <row r="327" spans="1:25" s="18" customFormat="1" x14ac:dyDescent="0.25">
      <c r="A327" s="13" t="s">
        <v>1083</v>
      </c>
      <c r="B327" s="14" t="str">
        <f>VLOOKUP(A327,[1]Sheet1!$A$2:$F$379,2,0)</f>
        <v>23273-0L132-A(2)</v>
      </c>
      <c r="C327" s="14" t="s">
        <v>531</v>
      </c>
      <c r="D327" s="14" t="s">
        <v>1221</v>
      </c>
      <c r="E327" s="15">
        <v>6.93</v>
      </c>
      <c r="F327" s="14" t="s">
        <v>1222</v>
      </c>
      <c r="G327" s="15">
        <v>19.420000000000002</v>
      </c>
      <c r="H327" s="14" t="s">
        <v>1223</v>
      </c>
      <c r="I327" s="15">
        <v>19.46</v>
      </c>
      <c r="J327" s="15">
        <f t="shared" si="11"/>
        <v>45.81</v>
      </c>
      <c r="K327" s="14" t="s">
        <v>1263</v>
      </c>
      <c r="L327" s="15">
        <v>2.4900000000000002</v>
      </c>
      <c r="M327" s="15">
        <f t="shared" si="10"/>
        <v>48.300000000000004</v>
      </c>
      <c r="N327" s="14" t="str">
        <f>VLOOKUP(A327,[2]Sheet1!$B$4:$F$352,3,0)</f>
        <v>CHS3L</v>
      </c>
      <c r="O327" s="16">
        <f>VLOOKUP(A327,[2]Sheet1!$B$4:$F$352,4,0)</f>
        <v>1</v>
      </c>
      <c r="P327" s="16"/>
      <c r="Q327" s="16">
        <f>VLOOKUP(A327,[2]Sheet1!$B$4:$F$352,4,0)</f>
        <v>1</v>
      </c>
      <c r="R327" s="17">
        <f>VLOOKUP(A327,[1]Sheet1!$A$2:$F$379,3,0)</f>
        <v>7.6</v>
      </c>
      <c r="S327" s="16">
        <f>VLOOKUP(A327,[1]Sheet1!$A$2:$F$379,4,0)</f>
        <v>14</v>
      </c>
      <c r="T327" s="16">
        <f>VLOOKUP(A327,[1]Sheet1!$A$2:$F$379,5,0)</f>
        <v>366</v>
      </c>
      <c r="U327" s="16" t="str">
        <f>VLOOKUP(A327,[1]Sheet1!$A$2:$F$379,6,0)</f>
        <v>352±2</v>
      </c>
      <c r="V327" s="16"/>
      <c r="W327" s="16"/>
      <c r="X327" s="16"/>
      <c r="Y327" s="18" t="str">
        <f>VLOOKUP(A327,[3]Combi!$A$1:$B$304,2,0)</f>
        <v>SOP/PROD/HOSE/SPS/3/3</v>
      </c>
    </row>
    <row r="328" spans="1:25" s="18" customFormat="1" x14ac:dyDescent="0.25">
      <c r="A328" s="13" t="s">
        <v>1084</v>
      </c>
      <c r="B328" s="14" t="str">
        <f>VLOOKUP(A328,[1]Sheet1!$A$2:$F$379,2,0)</f>
        <v>77259-KK010</v>
      </c>
      <c r="C328" s="14" t="s">
        <v>533</v>
      </c>
      <c r="D328" s="14" t="s">
        <v>1221</v>
      </c>
      <c r="E328" s="15">
        <v>22.57</v>
      </c>
      <c r="F328" s="14" t="s">
        <v>1222</v>
      </c>
      <c r="G328" s="15">
        <v>21.98</v>
      </c>
      <c r="H328" s="14" t="s">
        <v>1223</v>
      </c>
      <c r="I328" s="15">
        <v>35.909999999999997</v>
      </c>
      <c r="J328" s="15">
        <f t="shared" si="11"/>
        <v>80.459999999999994</v>
      </c>
      <c r="K328" s="14" t="s">
        <v>1263</v>
      </c>
      <c r="L328" s="15">
        <v>3.78</v>
      </c>
      <c r="M328" s="15">
        <f t="shared" si="10"/>
        <v>84.240000000000009</v>
      </c>
      <c r="N328" s="14" t="str">
        <f>VLOOKUP(A328,[2]Sheet1!$B$4:$F$352,3,0)</f>
        <v>CHS3L</v>
      </c>
      <c r="O328" s="16">
        <f>VLOOKUP(A328,[2]Sheet1!$B$4:$F$352,4,0)</f>
        <v>1</v>
      </c>
      <c r="P328" s="16"/>
      <c r="Q328" s="16">
        <f>VLOOKUP(A328,[2]Sheet1!$B$4:$F$352,4,0)</f>
        <v>1</v>
      </c>
      <c r="R328" s="17">
        <f>VLOOKUP(A328,[1]Sheet1!$A$2:$F$379,3,0)</f>
        <v>9.5</v>
      </c>
      <c r="S328" s="16">
        <f>VLOOKUP(A328,[1]Sheet1!$A$2:$F$379,4,0)</f>
        <v>16.5</v>
      </c>
      <c r="T328" s="16">
        <f>VLOOKUP(A328,[1]Sheet1!$A$2:$F$379,5,0)</f>
        <v>543</v>
      </c>
      <c r="U328" s="16" t="str">
        <f>VLOOKUP(A328,[1]Sheet1!$A$2:$F$379,6,0)</f>
        <v>530±5</v>
      </c>
      <c r="V328" s="16"/>
      <c r="W328" s="16"/>
      <c r="X328" s="16"/>
      <c r="Y328" s="18" t="str">
        <f>VLOOKUP(A328,[3]Combi!$A$1:$B$304,2,0)</f>
        <v>SOP/PROD/HOSE/SPS/3/10</v>
      </c>
    </row>
    <row r="329" spans="1:25" s="18" customFormat="1" x14ac:dyDescent="0.25">
      <c r="A329" s="13" t="s">
        <v>1091</v>
      </c>
      <c r="B329" s="14" t="str">
        <f>VLOOKUP(A329,[1]Sheet1!$A$2:$F$379,2,0)</f>
        <v>23274-0L071</v>
      </c>
      <c r="C329" s="14" t="s">
        <v>552</v>
      </c>
      <c r="D329" s="14" t="s">
        <v>1231</v>
      </c>
      <c r="E329" s="15">
        <v>13.83</v>
      </c>
      <c r="F329" s="14" t="s">
        <v>1232</v>
      </c>
      <c r="G329" s="15">
        <v>30.06</v>
      </c>
      <c r="H329" s="14" t="s">
        <v>1233</v>
      </c>
      <c r="I329" s="15">
        <v>34.97</v>
      </c>
      <c r="J329" s="15">
        <f t="shared" si="11"/>
        <v>78.86</v>
      </c>
      <c r="K329" s="14" t="s">
        <v>1263</v>
      </c>
      <c r="L329" s="15">
        <v>3.84</v>
      </c>
      <c r="M329" s="15">
        <f t="shared" si="10"/>
        <v>82.7</v>
      </c>
      <c r="N329" s="14" t="str">
        <f>VLOOKUP(A329,[2]Sheet1!$B$4:$F$352,3,0)</f>
        <v>CHS3L</v>
      </c>
      <c r="O329" s="16">
        <f>VLOOKUP(A329,[2]Sheet1!$B$4:$F$352,4,0)</f>
        <v>1</v>
      </c>
      <c r="P329" s="16"/>
      <c r="Q329" s="16">
        <f>VLOOKUP(A329,[2]Sheet1!$B$4:$F$352,4,0)</f>
        <v>1</v>
      </c>
      <c r="R329" s="17">
        <f>VLOOKUP(A329,[1]Sheet1!$A$2:$F$379,3,0)</f>
        <v>7.6</v>
      </c>
      <c r="S329" s="16">
        <f>VLOOKUP(A329,[1]Sheet1!$A$2:$F$379,4,0)</f>
        <v>14</v>
      </c>
      <c r="T329" s="16">
        <f>VLOOKUP(A329,[1]Sheet1!$A$2:$F$379,5,0)</f>
        <v>554</v>
      </c>
      <c r="U329" s="16" t="str">
        <f>VLOOKUP(A329,[1]Sheet1!$A$2:$F$379,6,0)</f>
        <v>535±2</v>
      </c>
      <c r="V329" s="16"/>
      <c r="W329" s="16"/>
      <c r="X329" s="16"/>
      <c r="Y329" s="18" t="str">
        <f>VLOOKUP(A329,[3]Combi!$A$1:$B$304,2,0)</f>
        <v>SOP/PROD/HOSE/SPS/3/3</v>
      </c>
    </row>
    <row r="330" spans="1:25" s="18" customFormat="1" x14ac:dyDescent="0.25">
      <c r="A330" s="13" t="s">
        <v>1091</v>
      </c>
      <c r="B330" s="14" t="str">
        <f>VLOOKUP(A330,[1]Sheet1!$A$2:$F$379,2,0)</f>
        <v>23274-0L071</v>
      </c>
      <c r="C330" s="14" t="s">
        <v>552</v>
      </c>
      <c r="D330" s="14" t="s">
        <v>1221</v>
      </c>
      <c r="E330" s="15">
        <v>10.54</v>
      </c>
      <c r="F330" s="14" t="s">
        <v>1222</v>
      </c>
      <c r="G330" s="15">
        <v>29.54</v>
      </c>
      <c r="H330" s="14" t="s">
        <v>1223</v>
      </c>
      <c r="I330" s="15">
        <v>29.59</v>
      </c>
      <c r="J330" s="15">
        <f t="shared" si="11"/>
        <v>69.67</v>
      </c>
      <c r="K330" s="14" t="s">
        <v>1263</v>
      </c>
      <c r="L330" s="15">
        <v>3.79</v>
      </c>
      <c r="M330" s="15">
        <f t="shared" si="10"/>
        <v>73.460000000000008</v>
      </c>
      <c r="N330" s="14" t="str">
        <f>VLOOKUP(A330,[2]Sheet1!$B$4:$F$352,3,0)</f>
        <v>CHS3L</v>
      </c>
      <c r="O330" s="16">
        <f>VLOOKUP(A330,[2]Sheet1!$B$4:$F$352,4,0)</f>
        <v>1</v>
      </c>
      <c r="P330" s="16"/>
      <c r="Q330" s="16">
        <f>VLOOKUP(A330,[2]Sheet1!$B$4:$F$352,4,0)</f>
        <v>1</v>
      </c>
      <c r="R330" s="17">
        <f>VLOOKUP(A330,[1]Sheet1!$A$2:$F$379,3,0)</f>
        <v>7.6</v>
      </c>
      <c r="S330" s="16">
        <f>VLOOKUP(A330,[1]Sheet1!$A$2:$F$379,4,0)</f>
        <v>14</v>
      </c>
      <c r="T330" s="16">
        <f>VLOOKUP(A330,[1]Sheet1!$A$2:$F$379,5,0)</f>
        <v>554</v>
      </c>
      <c r="U330" s="16"/>
      <c r="V330" s="16"/>
      <c r="W330" s="16"/>
      <c r="X330" s="16"/>
      <c r="Y330" s="18" t="str">
        <f>VLOOKUP(A330,[3]Combi!$A$1:$B$304,2,0)</f>
        <v>SOP/PROD/HOSE/SPS/3/3</v>
      </c>
    </row>
    <row r="331" spans="1:25" s="18" customFormat="1" x14ac:dyDescent="0.25">
      <c r="A331" s="13" t="s">
        <v>948</v>
      </c>
      <c r="B331" s="14" t="str">
        <f>VLOOKUP(A331,[1]Sheet1!$A$2:$F$379,2,0)</f>
        <v>23273-0L191 (1)</v>
      </c>
      <c r="C331" s="14" t="s">
        <v>211</v>
      </c>
      <c r="D331" s="14" t="s">
        <v>1231</v>
      </c>
      <c r="E331" s="15">
        <v>7.69</v>
      </c>
      <c r="F331" s="14" t="s">
        <v>1232</v>
      </c>
      <c r="G331" s="15">
        <v>20.71</v>
      </c>
      <c r="H331" s="14" t="s">
        <v>1233</v>
      </c>
      <c r="I331" s="15">
        <v>33.369999999999997</v>
      </c>
      <c r="J331" s="15">
        <f t="shared" si="11"/>
        <v>61.769999999999996</v>
      </c>
      <c r="K331" s="14" t="s">
        <v>1263</v>
      </c>
      <c r="L331" s="15">
        <v>3.16</v>
      </c>
      <c r="M331" s="15">
        <f t="shared" si="10"/>
        <v>64.930000000000007</v>
      </c>
      <c r="N331" s="14" t="str">
        <f>VLOOKUP(A331,[2]Sheet1!$B$4:$F$352,3,0)</f>
        <v>CHS3L</v>
      </c>
      <c r="O331" s="16">
        <f>VLOOKUP(A331,[2]Sheet1!$B$4:$F$352,4,0)</f>
        <v>1</v>
      </c>
      <c r="P331" s="16"/>
      <c r="Q331" s="16">
        <f>VLOOKUP(A331,[2]Sheet1!$B$4:$F$352,4,0)</f>
        <v>1</v>
      </c>
      <c r="R331" s="17">
        <f>VLOOKUP(A331,[1]Sheet1!$A$2:$F$379,3,0)</f>
        <v>7.6</v>
      </c>
      <c r="S331" s="16">
        <f>VLOOKUP(A331,[1]Sheet1!$A$2:$F$379,4,0)</f>
        <v>14</v>
      </c>
      <c r="T331" s="16">
        <f>VLOOKUP(A331,[1]Sheet1!$A$2:$F$379,5,0)</f>
        <v>464</v>
      </c>
      <c r="U331" s="16"/>
      <c r="V331" s="16"/>
      <c r="W331" s="16"/>
      <c r="X331" s="16"/>
      <c r="Y331" s="18" t="str">
        <f>VLOOKUP(A331,[3]Combi!$A$1:$B$304,2,0)</f>
        <v>SOP/PROD/HOSE/SPS/3/3</v>
      </c>
    </row>
    <row r="332" spans="1:25" s="18" customFormat="1" x14ac:dyDescent="0.25">
      <c r="A332" s="13" t="s">
        <v>948</v>
      </c>
      <c r="B332" s="14" t="str">
        <f>VLOOKUP(A332,[1]Sheet1!$A$2:$F$379,2,0)</f>
        <v>23273-0L191 (1)</v>
      </c>
      <c r="C332" s="14" t="s">
        <v>211</v>
      </c>
      <c r="D332" s="14" t="s">
        <v>1221</v>
      </c>
      <c r="E332" s="15">
        <v>22.31</v>
      </c>
      <c r="F332" s="14" t="s">
        <v>1222</v>
      </c>
      <c r="G332" s="15">
        <v>5.58</v>
      </c>
      <c r="H332" s="14" t="s">
        <v>1223</v>
      </c>
      <c r="I332" s="15">
        <v>29.75</v>
      </c>
      <c r="J332" s="15">
        <f t="shared" si="11"/>
        <v>57.64</v>
      </c>
      <c r="K332" s="14" t="s">
        <v>1263</v>
      </c>
      <c r="L332" s="15">
        <v>4.34</v>
      </c>
      <c r="M332" s="15">
        <f t="shared" si="10"/>
        <v>61.980000000000004</v>
      </c>
      <c r="N332" s="14" t="str">
        <f>VLOOKUP(A332,[2]Sheet1!$B$4:$F$352,3,0)</f>
        <v>CHS3L</v>
      </c>
      <c r="O332" s="16">
        <f>VLOOKUP(A332,[2]Sheet1!$B$4:$F$352,4,0)</f>
        <v>1</v>
      </c>
      <c r="P332" s="16"/>
      <c r="Q332" s="16">
        <f>VLOOKUP(A332,[2]Sheet1!$B$4:$F$352,4,0)</f>
        <v>1</v>
      </c>
      <c r="R332" s="17">
        <f>VLOOKUP(A332,[1]Sheet1!$A$2:$F$379,3,0)</f>
        <v>7.6</v>
      </c>
      <c r="S332" s="16">
        <f>VLOOKUP(A332,[1]Sheet1!$A$2:$F$379,4,0)</f>
        <v>14</v>
      </c>
      <c r="T332" s="16">
        <f>VLOOKUP(A332,[1]Sheet1!$A$2:$F$379,5,0)</f>
        <v>464</v>
      </c>
      <c r="U332" s="16" t="str">
        <f>VLOOKUP(A332,[1]Sheet1!$A$2:$F$379,6,0)</f>
        <v>441±2</v>
      </c>
      <c r="V332" s="16"/>
      <c r="W332" s="16"/>
      <c r="X332" s="16"/>
      <c r="Y332" s="18" t="str">
        <f>VLOOKUP(A332,[3]Combi!$A$1:$B$304,2,0)</f>
        <v>SOP/PROD/HOSE/SPS/3/3</v>
      </c>
    </row>
    <row r="333" spans="1:25" s="18" customFormat="1" x14ac:dyDescent="0.25">
      <c r="A333" s="13" t="s">
        <v>949</v>
      </c>
      <c r="B333" s="14" t="str">
        <f>VLOOKUP(A333,[1]Sheet1!$A$2:$F$379,2,0)</f>
        <v>23273-0L191 (2)</v>
      </c>
      <c r="C333" s="14" t="s">
        <v>211</v>
      </c>
      <c r="D333" s="14" t="s">
        <v>1231</v>
      </c>
      <c r="E333" s="15">
        <v>5.97</v>
      </c>
      <c r="F333" s="14" t="s">
        <v>1232</v>
      </c>
      <c r="G333" s="15">
        <v>16.079999999999998</v>
      </c>
      <c r="H333" s="14" t="s">
        <v>1233</v>
      </c>
      <c r="I333" s="15">
        <v>25.91</v>
      </c>
      <c r="J333" s="15">
        <f t="shared" si="11"/>
        <v>47.959999999999994</v>
      </c>
      <c r="K333" s="14" t="s">
        <v>1263</v>
      </c>
      <c r="L333" s="15">
        <v>2.46</v>
      </c>
      <c r="M333" s="15">
        <f t="shared" si="10"/>
        <v>50.42</v>
      </c>
      <c r="N333" s="14" t="str">
        <f>VLOOKUP(A333,[2]Sheet1!$B$4:$F$352,3,0)</f>
        <v>CHS3L</v>
      </c>
      <c r="O333" s="16">
        <f>VLOOKUP(A333,[2]Sheet1!$B$4:$F$352,4,0)</f>
        <v>1</v>
      </c>
      <c r="P333" s="16"/>
      <c r="Q333" s="16">
        <f>VLOOKUP(A333,[2]Sheet1!$B$4:$F$352,4,0)</f>
        <v>1</v>
      </c>
      <c r="R333" s="17">
        <f>VLOOKUP(A333,[1]Sheet1!$A$2:$F$379,3,0)</f>
        <v>7.6</v>
      </c>
      <c r="S333" s="16">
        <f>VLOOKUP(A333,[1]Sheet1!$A$2:$F$379,4,0)</f>
        <v>14</v>
      </c>
      <c r="T333" s="16">
        <f>VLOOKUP(A333,[1]Sheet1!$A$2:$F$379,5,0)</f>
        <v>356</v>
      </c>
      <c r="U333" s="16" t="str">
        <f>VLOOKUP(A333,[1]Sheet1!$A$2:$F$379,6,0)</f>
        <v>342±2</v>
      </c>
      <c r="V333" s="16"/>
      <c r="W333" s="16"/>
      <c r="X333" s="16"/>
      <c r="Y333" s="18" t="str">
        <f>VLOOKUP(A333,[3]Combi!$A$1:$B$304,2,0)</f>
        <v>SOP/PROD/HOSE/SPS/3/3</v>
      </c>
    </row>
    <row r="334" spans="1:25" s="18" customFormat="1" x14ac:dyDescent="0.25">
      <c r="A334" s="13" t="s">
        <v>949</v>
      </c>
      <c r="B334" s="14" t="str">
        <f>VLOOKUP(A334,[1]Sheet1!$A$2:$F$379,2,0)</f>
        <v>23273-0L191 (2)</v>
      </c>
      <c r="C334" s="14" t="s">
        <v>211</v>
      </c>
      <c r="D334" s="14" t="s">
        <v>1221</v>
      </c>
      <c r="E334" s="15">
        <v>17.32</v>
      </c>
      <c r="F334" s="14" t="s">
        <v>1222</v>
      </c>
      <c r="G334" s="15">
        <v>4.33</v>
      </c>
      <c r="H334" s="14" t="s">
        <v>1223</v>
      </c>
      <c r="I334" s="15">
        <v>23.1</v>
      </c>
      <c r="J334" s="15">
        <f t="shared" si="11"/>
        <v>44.75</v>
      </c>
      <c r="K334" s="14" t="s">
        <v>1263</v>
      </c>
      <c r="L334" s="15">
        <v>3.37</v>
      </c>
      <c r="M334" s="15">
        <f t="shared" si="10"/>
        <v>48.120000000000005</v>
      </c>
      <c r="N334" s="14" t="str">
        <f>VLOOKUP(A334,[2]Sheet1!$B$4:$F$352,3,0)</f>
        <v>CHS3L</v>
      </c>
      <c r="O334" s="16">
        <f>VLOOKUP(A334,[2]Sheet1!$B$4:$F$352,4,0)</f>
        <v>1</v>
      </c>
      <c r="P334" s="16"/>
      <c r="Q334" s="16">
        <f>VLOOKUP(A334,[2]Sheet1!$B$4:$F$352,4,0)</f>
        <v>1</v>
      </c>
      <c r="R334" s="17">
        <f>VLOOKUP(A334,[1]Sheet1!$A$2:$F$379,3,0)</f>
        <v>7.6</v>
      </c>
      <c r="S334" s="16">
        <f>VLOOKUP(A334,[1]Sheet1!$A$2:$F$379,4,0)</f>
        <v>14</v>
      </c>
      <c r="T334" s="16">
        <f>VLOOKUP(A334,[1]Sheet1!$A$2:$F$379,5,0)</f>
        <v>356</v>
      </c>
      <c r="U334" s="16" t="str">
        <f>VLOOKUP(A334,[1]Sheet1!$A$2:$F$379,6,0)</f>
        <v>342±2</v>
      </c>
      <c r="V334" s="16"/>
      <c r="W334" s="16"/>
      <c r="X334" s="16"/>
      <c r="Y334" s="18" t="str">
        <f>VLOOKUP(A334,[3]Combi!$A$1:$B$304,2,0)</f>
        <v>SOP/PROD/HOSE/SPS/3/3</v>
      </c>
    </row>
    <row r="335" spans="1:25" s="18" customFormat="1" x14ac:dyDescent="0.25">
      <c r="A335" s="13" t="s">
        <v>950</v>
      </c>
      <c r="B335" s="14" t="str">
        <f>VLOOKUP(A335,[1]Sheet1!$A$2:$F$379,2,0)</f>
        <v>23273-0L221 (1)</v>
      </c>
      <c r="C335" s="14" t="s">
        <v>214</v>
      </c>
      <c r="D335" s="14" t="s">
        <v>1231</v>
      </c>
      <c r="E335" s="15">
        <v>7.5</v>
      </c>
      <c r="F335" s="14" t="s">
        <v>1232</v>
      </c>
      <c r="G335" s="15">
        <v>20.2</v>
      </c>
      <c r="H335" s="14" t="s">
        <v>1233</v>
      </c>
      <c r="I335" s="15">
        <v>32.56</v>
      </c>
      <c r="J335" s="15">
        <f t="shared" si="11"/>
        <v>60.260000000000005</v>
      </c>
      <c r="K335" s="14" t="s">
        <v>1263</v>
      </c>
      <c r="L335" s="15">
        <v>3.09</v>
      </c>
      <c r="M335" s="15">
        <f t="shared" si="10"/>
        <v>63.350000000000009</v>
      </c>
      <c r="N335" s="14" t="str">
        <f>VLOOKUP(A335,[2]Sheet1!$B$4:$F$352,3,0)</f>
        <v>CHS3L</v>
      </c>
      <c r="O335" s="16">
        <f>VLOOKUP(A335,[2]Sheet1!$B$4:$F$352,4,0)</f>
        <v>1</v>
      </c>
      <c r="P335" s="16"/>
      <c r="Q335" s="16">
        <f>VLOOKUP(A335,[2]Sheet1!$B$4:$F$352,4,0)</f>
        <v>1</v>
      </c>
      <c r="R335" s="17">
        <f>VLOOKUP(A335,[1]Sheet1!$A$2:$F$379,3,0)</f>
        <v>7.6</v>
      </c>
      <c r="S335" s="16">
        <f>VLOOKUP(A335,[1]Sheet1!$A$2:$F$379,4,0)</f>
        <v>14</v>
      </c>
      <c r="T335" s="16">
        <f>VLOOKUP(A335,[1]Sheet1!$A$2:$F$379,5,0)</f>
        <v>446</v>
      </c>
      <c r="U335" s="16"/>
      <c r="V335" s="16"/>
      <c r="W335" s="16"/>
      <c r="X335" s="16"/>
      <c r="Y335" s="18" t="str">
        <f>VLOOKUP(A335,[3]Combi!$A$1:$B$304,2,0)</f>
        <v>SOP/PROD/HOSE/SPS/3/3</v>
      </c>
    </row>
    <row r="336" spans="1:25" s="18" customFormat="1" x14ac:dyDescent="0.25">
      <c r="A336" s="13" t="s">
        <v>950</v>
      </c>
      <c r="B336" s="14" t="str">
        <f>VLOOKUP(A336,[1]Sheet1!$A$2:$F$379,2,0)</f>
        <v>23273-0L221 (1)</v>
      </c>
      <c r="C336" s="14" t="s">
        <v>214</v>
      </c>
      <c r="D336" s="14" t="s">
        <v>1221</v>
      </c>
      <c r="E336" s="15">
        <v>21.77</v>
      </c>
      <c r="F336" s="14" t="s">
        <v>1222</v>
      </c>
      <c r="G336" s="15">
        <v>5.44</v>
      </c>
      <c r="H336" s="14" t="s">
        <v>1223</v>
      </c>
      <c r="I336" s="15">
        <v>29.02</v>
      </c>
      <c r="J336" s="15">
        <f t="shared" si="11"/>
        <v>56.230000000000004</v>
      </c>
      <c r="K336" s="14" t="s">
        <v>1263</v>
      </c>
      <c r="L336" s="15">
        <v>4.2300000000000004</v>
      </c>
      <c r="M336" s="15">
        <f t="shared" si="10"/>
        <v>60.459999999999994</v>
      </c>
      <c r="N336" s="14" t="str">
        <f>VLOOKUP(A336,[2]Sheet1!$B$4:$F$352,3,0)</f>
        <v>CHS3L</v>
      </c>
      <c r="O336" s="16">
        <f>VLOOKUP(A336,[2]Sheet1!$B$4:$F$352,4,0)</f>
        <v>1</v>
      </c>
      <c r="P336" s="16"/>
      <c r="Q336" s="16">
        <f>VLOOKUP(A336,[2]Sheet1!$B$4:$F$352,4,0)</f>
        <v>1</v>
      </c>
      <c r="R336" s="17">
        <f>VLOOKUP(A336,[1]Sheet1!$A$2:$F$379,3,0)</f>
        <v>7.6</v>
      </c>
      <c r="S336" s="16">
        <f>VLOOKUP(A336,[1]Sheet1!$A$2:$F$379,4,0)</f>
        <v>14</v>
      </c>
      <c r="T336" s="16">
        <f>VLOOKUP(A336,[1]Sheet1!$A$2:$F$379,5,0)</f>
        <v>446</v>
      </c>
      <c r="U336" s="16" t="str">
        <f>VLOOKUP(A336,[1]Sheet1!$A$2:$F$379,6,0)</f>
        <v>430±2</v>
      </c>
      <c r="V336" s="16"/>
      <c r="W336" s="16"/>
      <c r="X336" s="16"/>
      <c r="Y336" s="18" t="str">
        <f>VLOOKUP(A336,[3]Combi!$A$1:$B$304,2,0)</f>
        <v>SOP/PROD/HOSE/SPS/3/3</v>
      </c>
    </row>
    <row r="337" spans="1:25" s="18" customFormat="1" x14ac:dyDescent="0.25">
      <c r="A337" s="13" t="s">
        <v>953</v>
      </c>
      <c r="B337" s="14" t="str">
        <f>VLOOKUP(A337,[1]Sheet1!$A$2:$F$379,2,0)</f>
        <v>23273-0L221 (2)</v>
      </c>
      <c r="C337" s="14" t="s">
        <v>214</v>
      </c>
      <c r="D337" s="14" t="s">
        <v>1231</v>
      </c>
      <c r="E337" s="15">
        <v>7.11</v>
      </c>
      <c r="F337" s="14" t="s">
        <v>1232</v>
      </c>
      <c r="G337" s="15">
        <v>19.149999999999999</v>
      </c>
      <c r="H337" s="14" t="s">
        <v>1233</v>
      </c>
      <c r="I337" s="15">
        <v>30.86</v>
      </c>
      <c r="J337" s="15">
        <f t="shared" si="11"/>
        <v>57.12</v>
      </c>
      <c r="K337" s="14" t="s">
        <v>1263</v>
      </c>
      <c r="L337" s="15">
        <v>2.93</v>
      </c>
      <c r="M337" s="15">
        <f t="shared" si="10"/>
        <v>60.05</v>
      </c>
      <c r="N337" s="14" t="str">
        <f>VLOOKUP(A337,[2]Sheet1!$B$4:$F$352,3,0)</f>
        <v>CHS3L</v>
      </c>
      <c r="O337" s="16">
        <f>VLOOKUP(A337,[2]Sheet1!$B$4:$F$352,4,0)</f>
        <v>1</v>
      </c>
      <c r="P337" s="16"/>
      <c r="Q337" s="16">
        <f>VLOOKUP(A337,[2]Sheet1!$B$4:$F$352,4,0)</f>
        <v>1</v>
      </c>
      <c r="R337" s="17">
        <f>VLOOKUP(A337,[1]Sheet1!$A$2:$F$379,3,0)</f>
        <v>7.6</v>
      </c>
      <c r="S337" s="16">
        <f>VLOOKUP(A337,[1]Sheet1!$A$2:$F$379,4,0)</f>
        <v>14</v>
      </c>
      <c r="T337" s="16">
        <f>VLOOKUP(A337,[1]Sheet1!$A$2:$F$379,5,0)</f>
        <v>423</v>
      </c>
      <c r="U337" s="16"/>
      <c r="V337" s="16"/>
      <c r="W337" s="16"/>
      <c r="X337" s="16"/>
      <c r="Y337" s="18" t="str">
        <f>VLOOKUP(A337,[3]Combi!$A$1:$B$304,2,0)</f>
        <v>SOP/PROD/HOSE/SPS/3/3</v>
      </c>
    </row>
    <row r="338" spans="1:25" s="18" customFormat="1" x14ac:dyDescent="0.25">
      <c r="A338" s="13" t="s">
        <v>953</v>
      </c>
      <c r="B338" s="14" t="str">
        <f>VLOOKUP(A338,[1]Sheet1!$A$2:$F$379,2,0)</f>
        <v>23273-0L221 (2)</v>
      </c>
      <c r="C338" s="14" t="s">
        <v>214</v>
      </c>
      <c r="D338" s="14" t="s">
        <v>1221</v>
      </c>
      <c r="E338" s="15">
        <v>20.63</v>
      </c>
      <c r="F338" s="14" t="s">
        <v>1222</v>
      </c>
      <c r="G338" s="15">
        <v>5.16</v>
      </c>
      <c r="H338" s="14" t="s">
        <v>1223</v>
      </c>
      <c r="I338" s="15">
        <v>27.51</v>
      </c>
      <c r="J338" s="15">
        <f t="shared" si="11"/>
        <v>53.3</v>
      </c>
      <c r="K338" s="14" t="s">
        <v>1263</v>
      </c>
      <c r="L338" s="15">
        <v>4.01</v>
      </c>
      <c r="M338" s="15">
        <f t="shared" si="10"/>
        <v>57.31</v>
      </c>
      <c r="N338" s="14" t="str">
        <f>VLOOKUP(A338,[2]Sheet1!$B$4:$F$352,3,0)</f>
        <v>CHS3L</v>
      </c>
      <c r="O338" s="16">
        <f>VLOOKUP(A338,[2]Sheet1!$B$4:$F$352,4,0)</f>
        <v>1</v>
      </c>
      <c r="P338" s="16"/>
      <c r="Q338" s="16">
        <f>VLOOKUP(A338,[2]Sheet1!$B$4:$F$352,4,0)</f>
        <v>1</v>
      </c>
      <c r="R338" s="17">
        <f>VLOOKUP(A338,[1]Sheet1!$A$2:$F$379,3,0)</f>
        <v>7.6</v>
      </c>
      <c r="S338" s="16">
        <f>VLOOKUP(A338,[1]Sheet1!$A$2:$F$379,4,0)</f>
        <v>14</v>
      </c>
      <c r="T338" s="16">
        <f>VLOOKUP(A338,[1]Sheet1!$A$2:$F$379,5,0)</f>
        <v>423</v>
      </c>
      <c r="U338" s="16" t="str">
        <f>VLOOKUP(A338,[1]Sheet1!$A$2:$F$379,6,0)</f>
        <v>408±2</v>
      </c>
      <c r="V338" s="16"/>
      <c r="W338" s="16"/>
      <c r="X338" s="16"/>
      <c r="Y338" s="18" t="str">
        <f>VLOOKUP(A338,[3]Combi!$A$1:$B$304,2,0)</f>
        <v>SOP/PROD/HOSE/SPS/3/3</v>
      </c>
    </row>
    <row r="339" spans="1:25" s="18" customFormat="1" x14ac:dyDescent="0.25">
      <c r="A339" s="13" t="s">
        <v>1022</v>
      </c>
      <c r="B339" s="14" t="str">
        <f>VLOOKUP(A339,[1]Sheet1!$A$2:$F$379,2,0)</f>
        <v>23271-0E041</v>
      </c>
      <c r="C339" s="14" t="s">
        <v>394</v>
      </c>
      <c r="D339" s="14" t="s">
        <v>1221</v>
      </c>
      <c r="E339" s="15">
        <v>21.46</v>
      </c>
      <c r="F339" s="14" t="s">
        <v>1222</v>
      </c>
      <c r="G339" s="15">
        <v>19.39</v>
      </c>
      <c r="H339" s="14" t="s">
        <v>1223</v>
      </c>
      <c r="I339" s="15">
        <v>42.78</v>
      </c>
      <c r="J339" s="15">
        <f t="shared" si="11"/>
        <v>83.63</v>
      </c>
      <c r="K339" s="14" t="s">
        <v>1263</v>
      </c>
      <c r="L339" s="15">
        <v>4.2</v>
      </c>
      <c r="M339" s="15">
        <f t="shared" si="10"/>
        <v>87.830000000000013</v>
      </c>
      <c r="N339" s="14" t="str">
        <f>VLOOKUP(A339,[2]Sheet1!$B$4:$F$352,3,0)</f>
        <v>CHS3L</v>
      </c>
      <c r="O339" s="16">
        <f>VLOOKUP(A339,[2]Sheet1!$B$4:$F$352,4,0)</f>
        <v>1</v>
      </c>
      <c r="P339" s="16"/>
      <c r="Q339" s="16">
        <f>VLOOKUP(A339,[2]Sheet1!$B$4:$F$352,4,0)</f>
        <v>1</v>
      </c>
      <c r="R339" s="17">
        <f>VLOOKUP(A339,[1]Sheet1!$A$2:$F$379,3,0)</f>
        <v>9.5</v>
      </c>
      <c r="S339" s="16">
        <f>VLOOKUP(A339,[1]Sheet1!$A$2:$F$379,4,0)</f>
        <v>16.5</v>
      </c>
      <c r="T339" s="16">
        <f>VLOOKUP(A339,[1]Sheet1!$A$2:$F$379,5,0)</f>
        <v>570</v>
      </c>
      <c r="U339" s="16" t="str">
        <f>VLOOKUP(A339,[1]Sheet1!$A$2:$F$379,6,0)</f>
        <v>558±2</v>
      </c>
      <c r="V339" s="16"/>
      <c r="W339" s="16"/>
      <c r="X339" s="16"/>
      <c r="Y339" s="18" t="str">
        <f>VLOOKUP(A339,[3]Combi!$A$1:$B$304,2,0)</f>
        <v>SOP/PROD/HOSE/SPS/3/10</v>
      </c>
    </row>
    <row r="340" spans="1:25" s="18" customFormat="1" x14ac:dyDescent="0.25">
      <c r="A340" s="13" t="s">
        <v>998</v>
      </c>
      <c r="B340" s="14" t="str">
        <f>VLOOKUP(A340,[1]Sheet1!$A$2:$F$379,2,0)</f>
        <v>16282-VT060</v>
      </c>
      <c r="C340" s="14" t="s">
        <v>335</v>
      </c>
      <c r="D340" s="14" t="s">
        <v>1236</v>
      </c>
      <c r="E340" s="15">
        <v>122.22</v>
      </c>
      <c r="F340" s="14"/>
      <c r="G340" s="14"/>
      <c r="H340" s="14"/>
      <c r="I340" s="14"/>
      <c r="J340" s="15">
        <f t="shared" si="11"/>
        <v>122.22</v>
      </c>
      <c r="K340" s="14" t="s">
        <v>1265</v>
      </c>
      <c r="L340" s="15">
        <v>3.49</v>
      </c>
      <c r="M340" s="15">
        <f t="shared" si="10"/>
        <v>125.71</v>
      </c>
      <c r="N340" s="14" t="str">
        <f>VLOOKUP(A340,[2]Sheet1!$B$4:$F$352,3,0)</f>
        <v>CHS2L</v>
      </c>
      <c r="O340" s="16">
        <f>VLOOKUP(A340,[2]Sheet1!$B$4:$F$352,4,0)</f>
        <v>5</v>
      </c>
      <c r="P340" s="16"/>
      <c r="Q340" s="16">
        <f>VLOOKUP(A340,[2]Sheet1!$B$4:$F$352,4,0)</f>
        <v>5</v>
      </c>
      <c r="R340" s="17">
        <f>VLOOKUP(A340,[1]Sheet1!$A$2:$F$379,3,0)</f>
        <v>16</v>
      </c>
      <c r="S340" s="16">
        <f>VLOOKUP(A340,[1]Sheet1!$A$2:$F$379,4,0)</f>
        <v>24</v>
      </c>
      <c r="T340" s="16">
        <f>VLOOKUP(A340,[1]Sheet1!$A$2:$F$379,5,0)</f>
        <v>405</v>
      </c>
      <c r="U340" s="16" t="str">
        <f>VLOOKUP(A340,[1]Sheet1!$A$2:$F$379,6,0)</f>
        <v>400±1</v>
      </c>
      <c r="V340" s="16"/>
      <c r="W340" s="16"/>
      <c r="X340" s="16"/>
      <c r="Y340" s="18" t="str">
        <f>VLOOKUP(A340,[3]Combi!$A$1:$B$304,2,0)</f>
        <v>SOP/PROD/HOSE/SPS/2/8</v>
      </c>
    </row>
    <row r="341" spans="1:25" s="18" customFormat="1" x14ac:dyDescent="0.25">
      <c r="A341" s="13" t="s">
        <v>1012</v>
      </c>
      <c r="B341" s="14" t="str">
        <f>VLOOKUP(A341,[1]Sheet1!$A$2:$F$379,2,0)</f>
        <v>16283-VT040</v>
      </c>
      <c r="C341" s="14" t="s">
        <v>372</v>
      </c>
      <c r="D341" s="14" t="s">
        <v>1236</v>
      </c>
      <c r="E341" s="15">
        <v>84.31</v>
      </c>
      <c r="F341" s="14"/>
      <c r="G341" s="14"/>
      <c r="H341" s="14"/>
      <c r="I341" s="14"/>
      <c r="J341" s="15">
        <f t="shared" si="11"/>
        <v>84.31</v>
      </c>
      <c r="K341" s="14" t="s">
        <v>1265</v>
      </c>
      <c r="L341" s="15">
        <v>2.41</v>
      </c>
      <c r="M341" s="15">
        <f t="shared" si="10"/>
        <v>86.72</v>
      </c>
      <c r="N341" s="14" t="str">
        <f>VLOOKUP(A341,[2]Sheet1!$B$4:$F$352,3,0)</f>
        <v>CHS2L</v>
      </c>
      <c r="O341" s="16">
        <f>VLOOKUP(A341,[2]Sheet1!$B$4:$F$352,4,0)</f>
        <v>5</v>
      </c>
      <c r="P341" s="16"/>
      <c r="Q341" s="16">
        <f>VLOOKUP(A341,[2]Sheet1!$B$4:$F$352,4,0)</f>
        <v>5</v>
      </c>
      <c r="R341" s="17">
        <f>VLOOKUP(A341,[1]Sheet1!$A$2:$F$379,3,0)</f>
        <v>16</v>
      </c>
      <c r="S341" s="16">
        <f>VLOOKUP(A341,[1]Sheet1!$A$2:$F$379,4,0)</f>
        <v>24</v>
      </c>
      <c r="T341" s="16">
        <f>VLOOKUP(A341,[1]Sheet1!$A$2:$F$379,5,0)</f>
        <v>284</v>
      </c>
      <c r="U341" s="16"/>
      <c r="V341" s="16"/>
      <c r="W341" s="16"/>
      <c r="X341" s="16"/>
      <c r="Y341" s="18" t="str">
        <f>VLOOKUP(A341,[3]Combi!$A$1:$B$304,2,0)</f>
        <v>SOP/PROD/HOSE/SPS/2/8</v>
      </c>
    </row>
    <row r="342" spans="1:25" s="18" customFormat="1" x14ac:dyDescent="0.25">
      <c r="A342" s="13" t="s">
        <v>1013</v>
      </c>
      <c r="B342" s="14" t="str">
        <f>VLOOKUP(A342,[1]Sheet1!$A$2:$F$379,2,0)</f>
        <v>16571-VT020</v>
      </c>
      <c r="C342" s="14" t="s">
        <v>374</v>
      </c>
      <c r="D342" s="14" t="s">
        <v>1236</v>
      </c>
      <c r="E342" s="15">
        <v>120</v>
      </c>
      <c r="F342" s="14"/>
      <c r="G342" s="14"/>
      <c r="H342" s="14"/>
      <c r="I342" s="14"/>
      <c r="J342" s="15">
        <f t="shared" si="11"/>
        <v>120</v>
      </c>
      <c r="K342" s="14" t="s">
        <v>1266</v>
      </c>
      <c r="L342" s="15">
        <v>3.76</v>
      </c>
      <c r="M342" s="15">
        <f t="shared" si="10"/>
        <v>123.76</v>
      </c>
      <c r="N342" s="14" t="str">
        <f>VLOOKUP(A342,[2]Sheet1!$B$4:$F$352,3,0)</f>
        <v>CHS2L</v>
      </c>
      <c r="O342" s="16">
        <f>VLOOKUP(A342,[2]Sheet1!$B$4:$F$352,4,0)</f>
        <v>5</v>
      </c>
      <c r="P342" s="16"/>
      <c r="Q342" s="16">
        <f>VLOOKUP(A342,[2]Sheet1!$B$4:$F$352,4,0)</f>
        <v>5</v>
      </c>
      <c r="R342" s="17">
        <f>VLOOKUP(A342,[1]Sheet1!$A$2:$F$379,3,0)</f>
        <v>33</v>
      </c>
      <c r="S342" s="16">
        <f>VLOOKUP(A342,[1]Sheet1!$A$2:$F$379,4,0)</f>
        <v>42</v>
      </c>
      <c r="T342" s="16">
        <f>VLOOKUP(A342,[1]Sheet1!$A$2:$F$379,5,0)</f>
        <v>190</v>
      </c>
      <c r="U342" s="16"/>
      <c r="V342" s="16"/>
      <c r="W342" s="16"/>
      <c r="X342" s="16"/>
      <c r="Y342" s="18" t="str">
        <f>VLOOKUP(A342,[3]Combi!$A$1:$B$304,2,0)</f>
        <v>SOP/PROD/HOSE/SPS/2/2</v>
      </c>
    </row>
    <row r="343" spans="1:25" s="18" customFormat="1" x14ac:dyDescent="0.25">
      <c r="A343" s="13" t="s">
        <v>964</v>
      </c>
      <c r="B343" s="14" t="str">
        <f>VLOOKUP(A343,[1]Sheet1!$A$2:$F$379,2,0)</f>
        <v>16574-VT020</v>
      </c>
      <c r="C343" s="14" t="s">
        <v>254</v>
      </c>
      <c r="D343" s="14" t="s">
        <v>1236</v>
      </c>
      <c r="E343" s="15">
        <v>210.51</v>
      </c>
      <c r="F343" s="14"/>
      <c r="G343" s="14"/>
      <c r="H343" s="14"/>
      <c r="I343" s="14"/>
      <c r="J343" s="15">
        <f t="shared" si="11"/>
        <v>210.51</v>
      </c>
      <c r="K343" s="14" t="s">
        <v>1266</v>
      </c>
      <c r="L343" s="15">
        <v>6.58</v>
      </c>
      <c r="M343" s="15">
        <f t="shared" si="10"/>
        <v>217.09</v>
      </c>
      <c r="N343" s="14" t="str">
        <f>VLOOKUP(A343,[2]Sheet1!$B$4:$F$352,3,0)</f>
        <v>CHS2L</v>
      </c>
      <c r="O343" s="16">
        <f>VLOOKUP(A343,[2]Sheet1!$B$4:$F$352,4,0)</f>
        <v>5</v>
      </c>
      <c r="P343" s="16"/>
      <c r="Q343" s="16">
        <f>VLOOKUP(A343,[2]Sheet1!$B$4:$F$352,4,0)</f>
        <v>5</v>
      </c>
      <c r="R343" s="17">
        <f>VLOOKUP(A343,[1]Sheet1!$A$2:$F$379,3,0)</f>
        <v>33</v>
      </c>
      <c r="S343" s="16">
        <f>VLOOKUP(A343,[1]Sheet1!$A$2:$F$379,4,0)</f>
        <v>42</v>
      </c>
      <c r="T343" s="16">
        <f>VLOOKUP(A343,[1]Sheet1!$A$2:$F$379,5,0)</f>
        <v>355</v>
      </c>
      <c r="U343" s="16"/>
      <c r="V343" s="16"/>
      <c r="W343" s="16"/>
      <c r="X343" s="16"/>
      <c r="Y343" s="18" t="str">
        <f>VLOOKUP(A343,[3]Combi!$A$1:$B$304,2,0)</f>
        <v>SOP/PROD/HOSE/SPS/2/2</v>
      </c>
    </row>
    <row r="344" spans="1:25" s="18" customFormat="1" x14ac:dyDescent="0.25">
      <c r="A344" s="13" t="s">
        <v>990</v>
      </c>
      <c r="B344" s="14" t="str">
        <f>VLOOKUP(A344,[1]Sheet1!$A$2:$F$379,2,0)</f>
        <v>16571-VT040-B</v>
      </c>
      <c r="C344" s="14" t="s">
        <v>319</v>
      </c>
      <c r="D344" s="14" t="s">
        <v>1236</v>
      </c>
      <c r="E344" s="15">
        <v>431.99</v>
      </c>
      <c r="F344" s="14"/>
      <c r="G344" s="14"/>
      <c r="H344" s="14"/>
      <c r="I344" s="14"/>
      <c r="J344" s="15">
        <f t="shared" si="11"/>
        <v>431.99</v>
      </c>
      <c r="K344" s="14" t="s">
        <v>1266</v>
      </c>
      <c r="L344" s="15">
        <v>12.78</v>
      </c>
      <c r="M344" s="15">
        <f t="shared" si="10"/>
        <v>444.77</v>
      </c>
      <c r="N344" s="14" t="str">
        <f>VLOOKUP(A344,[2]Sheet1!$B$4:$F$352,3,0)</f>
        <v>CHS2L</v>
      </c>
      <c r="O344" s="16">
        <f>VLOOKUP(A344,[2]Sheet1!$B$4:$F$352,4,0)</f>
        <v>5</v>
      </c>
      <c r="P344" s="16"/>
      <c r="Q344" s="16">
        <f>VLOOKUP(A344,[2]Sheet1!$B$4:$F$352,4,0)</f>
        <v>5</v>
      </c>
      <c r="R344" s="17">
        <f>VLOOKUP(A344,[1]Sheet1!$A$2:$F$379,3,0)</f>
        <v>33</v>
      </c>
      <c r="S344" s="16">
        <f>VLOOKUP(A344,[1]Sheet1!$A$2:$F$379,4,0)</f>
        <v>42</v>
      </c>
      <c r="T344" s="16" t="str">
        <f>VLOOKUP(A344,[1]Sheet1!$A$2:$F$379,5,0)</f>
        <v>642</v>
      </c>
      <c r="U344" s="16"/>
      <c r="V344" s="16"/>
      <c r="W344" s="16"/>
      <c r="X344" s="16"/>
      <c r="Y344" s="18" t="str">
        <f>VLOOKUP(A344,[3]Combi!$A$1:$B$304,2,0)</f>
        <v>SOP/PROD/HOSE/SPS/2/2</v>
      </c>
    </row>
    <row r="345" spans="1:25" s="18" customFormat="1" x14ac:dyDescent="0.25">
      <c r="A345" s="13" t="s">
        <v>982</v>
      </c>
      <c r="B345" s="14" t="str">
        <f>VLOOKUP(A345,[1]Sheet1!$A$2:$F$379,2,0)</f>
        <v>16572-VT020-B</v>
      </c>
      <c r="C345" s="14" t="s">
        <v>301</v>
      </c>
      <c r="D345" s="14" t="s">
        <v>1236</v>
      </c>
      <c r="E345" s="15">
        <v>402.5</v>
      </c>
      <c r="F345" s="14"/>
      <c r="G345" s="14"/>
      <c r="H345" s="14"/>
      <c r="I345" s="14"/>
      <c r="J345" s="15">
        <f t="shared" si="11"/>
        <v>402.5</v>
      </c>
      <c r="K345" s="14" t="s">
        <v>1266</v>
      </c>
      <c r="L345" s="15">
        <v>11.92</v>
      </c>
      <c r="M345" s="15">
        <f t="shared" si="10"/>
        <v>414.42</v>
      </c>
      <c r="N345" s="14" t="str">
        <f>VLOOKUP(A345,[2]Sheet1!$B$4:$F$352,3,0)</f>
        <v>CHS2L</v>
      </c>
      <c r="O345" s="16">
        <f>VLOOKUP(A345,[2]Sheet1!$B$4:$F$352,4,0)</f>
        <v>5</v>
      </c>
      <c r="P345" s="16"/>
      <c r="Q345" s="16">
        <f>VLOOKUP(A345,[2]Sheet1!$B$4:$F$352,4,0)</f>
        <v>5</v>
      </c>
      <c r="R345" s="17">
        <f>VLOOKUP(A345,[1]Sheet1!$A$2:$F$379,3,0)</f>
        <v>33</v>
      </c>
      <c r="S345" s="16">
        <f>VLOOKUP(A345,[1]Sheet1!$A$2:$F$379,4,0)</f>
        <v>42</v>
      </c>
      <c r="T345" s="16">
        <f>VLOOKUP(A345,[1]Sheet1!$A$2:$F$379,5,0)</f>
        <v>633</v>
      </c>
      <c r="U345" s="16"/>
      <c r="V345" s="16"/>
      <c r="W345" s="16"/>
      <c r="X345" s="16"/>
      <c r="Y345" s="18" t="str">
        <f>VLOOKUP(A345,[3]Combi!$A$1:$B$304,2,0)</f>
        <v>SOP/PROD/HOSE/SPS/2/2</v>
      </c>
    </row>
    <row r="346" spans="1:25" s="18" customFormat="1" x14ac:dyDescent="0.25">
      <c r="A346" s="13" t="s">
        <v>975</v>
      </c>
      <c r="B346" s="14" t="str">
        <f>VLOOKUP(A346,[1]Sheet1!$A$2:$F$379,2,0)</f>
        <v>16572-VT040-A</v>
      </c>
      <c r="C346" s="14" t="s">
        <v>287</v>
      </c>
      <c r="D346" s="14" t="s">
        <v>1236</v>
      </c>
      <c r="E346" s="15">
        <v>322.95999999999998</v>
      </c>
      <c r="F346" s="14"/>
      <c r="G346" s="14"/>
      <c r="H346" s="14"/>
      <c r="I346" s="14"/>
      <c r="J346" s="15">
        <f t="shared" si="11"/>
        <v>322.95999999999998</v>
      </c>
      <c r="K346" s="14" t="s">
        <v>1266</v>
      </c>
      <c r="L346" s="15">
        <v>9.5399999999999991</v>
      </c>
      <c r="M346" s="15">
        <f t="shared" si="10"/>
        <v>332.5</v>
      </c>
      <c r="N346" s="14" t="str">
        <f>VLOOKUP(A346,[2]Sheet1!$B$4:$F$352,3,0)</f>
        <v>CHS2L</v>
      </c>
      <c r="O346" s="16">
        <f>VLOOKUP(A346,[2]Sheet1!$B$4:$F$352,4,0)</f>
        <v>5</v>
      </c>
      <c r="P346" s="16"/>
      <c r="Q346" s="16">
        <f>VLOOKUP(A346,[2]Sheet1!$B$4:$F$352,4,0)</f>
        <v>5</v>
      </c>
      <c r="R346" s="17">
        <f>VLOOKUP(A346,[1]Sheet1!$A$2:$F$379,3,0)</f>
        <v>33</v>
      </c>
      <c r="S346" s="16">
        <f>VLOOKUP(A346,[1]Sheet1!$A$2:$F$379,4,0)</f>
        <v>42</v>
      </c>
      <c r="T346" s="16">
        <f>VLOOKUP(A346,[1]Sheet1!$A$2:$F$379,5,0)</f>
        <v>512</v>
      </c>
      <c r="U346" s="16"/>
      <c r="V346" s="16"/>
      <c r="W346" s="16"/>
      <c r="X346" s="16"/>
      <c r="Y346" s="18" t="str">
        <f>VLOOKUP(A346,[3]Combi!$A$1:$B$304,2,0)</f>
        <v>SOP/PROD/HOSE/SPS/2/2</v>
      </c>
    </row>
    <row r="347" spans="1:25" s="18" customFormat="1" x14ac:dyDescent="0.25">
      <c r="A347" s="13" t="s">
        <v>983</v>
      </c>
      <c r="B347" s="14" t="str">
        <f>VLOOKUP(A347,[1]Sheet1!$A$2:$F$379,2,0)</f>
        <v>G9225-VT020</v>
      </c>
      <c r="C347" s="14" t="s">
        <v>303</v>
      </c>
      <c r="D347" s="14" t="s">
        <v>1236</v>
      </c>
      <c r="E347" s="15">
        <v>97.06</v>
      </c>
      <c r="F347" s="14"/>
      <c r="G347" s="14"/>
      <c r="H347" s="14"/>
      <c r="I347" s="14"/>
      <c r="J347" s="15">
        <f t="shared" si="11"/>
        <v>97.06</v>
      </c>
      <c r="K347" s="14" t="s">
        <v>1265</v>
      </c>
      <c r="L347" s="15">
        <v>2.48</v>
      </c>
      <c r="M347" s="15">
        <f t="shared" si="10"/>
        <v>99.54</v>
      </c>
      <c r="N347" s="14" t="str">
        <f>VLOOKUP(A347,[2]Sheet1!$B$4:$F$352,3,0)</f>
        <v>CHS2L</v>
      </c>
      <c r="O347" s="16">
        <f>VLOOKUP(A347,[2]Sheet1!$B$4:$F$352,4,0)</f>
        <v>7</v>
      </c>
      <c r="P347" s="16"/>
      <c r="Q347" s="16">
        <f>VLOOKUP(A347,[2]Sheet1!$B$4:$F$352,4,0)</f>
        <v>7</v>
      </c>
      <c r="R347" s="17">
        <f>VLOOKUP(A347,[1]Sheet1!$A$2:$F$379,3,0)</f>
        <v>16</v>
      </c>
      <c r="S347" s="16">
        <f>VLOOKUP(A347,[1]Sheet1!$A$2:$F$379,4,0)</f>
        <v>24</v>
      </c>
      <c r="T347" s="16">
        <f>VLOOKUP(A347,[1]Sheet1!$A$2:$F$379,5,0)</f>
        <v>280</v>
      </c>
      <c r="U347" s="16" t="str">
        <f>VLOOKUP(A347,[1]Sheet1!$A$2:$F$379,6,0)</f>
        <v>278±1</v>
      </c>
      <c r="V347" s="16"/>
      <c r="W347" s="16"/>
      <c r="X347" s="16"/>
      <c r="Y347" s="18" t="str">
        <f>VLOOKUP(A347,[3]Combi!$A$1:$B$304,2,0)</f>
        <v>SOP/PROD/HOSE/SPS/2/8</v>
      </c>
    </row>
    <row r="348" spans="1:25" s="18" customFormat="1" x14ac:dyDescent="0.25">
      <c r="A348" s="13" t="s">
        <v>1045</v>
      </c>
      <c r="B348" s="14" t="str">
        <f>VLOOKUP(A348,[1]Sheet1!$A$2:$F$379,2,0)</f>
        <v>G9226-VT020-C</v>
      </c>
      <c r="C348" s="14" t="s">
        <v>450</v>
      </c>
      <c r="D348" s="14" t="s">
        <v>1236</v>
      </c>
      <c r="E348" s="15">
        <v>241.5</v>
      </c>
      <c r="F348" s="14"/>
      <c r="G348" s="14"/>
      <c r="H348" s="14"/>
      <c r="I348" s="14"/>
      <c r="J348" s="15">
        <f t="shared" si="11"/>
        <v>241.5</v>
      </c>
      <c r="K348" s="14" t="s">
        <v>1265</v>
      </c>
      <c r="L348" s="15">
        <v>6.53</v>
      </c>
      <c r="M348" s="15">
        <f t="shared" si="10"/>
        <v>248.03</v>
      </c>
      <c r="N348" s="14" t="str">
        <f>VLOOKUP(A348,[2]Sheet1!$B$4:$F$352,3,0)</f>
        <v>CHS2L</v>
      </c>
      <c r="O348" s="16">
        <f>VLOOKUP(A348,[2]Sheet1!$B$4:$F$352,4,0)</f>
        <v>5</v>
      </c>
      <c r="P348" s="16"/>
      <c r="Q348" s="16">
        <f>VLOOKUP(A348,[2]Sheet1!$B$4:$F$352,4,0)</f>
        <v>5</v>
      </c>
      <c r="R348" s="17">
        <f>VLOOKUP(A348,[1]Sheet1!$A$2:$F$379,3,0)</f>
        <v>16</v>
      </c>
      <c r="S348" s="16">
        <f>VLOOKUP(A348,[1]Sheet1!$A$2:$F$379,4,0)</f>
        <v>24</v>
      </c>
      <c r="T348" s="16" t="str">
        <f>VLOOKUP(A348,[1]Sheet1!$A$2:$F$379,5,0)</f>
        <v>750</v>
      </c>
      <c r="U348" s="16"/>
      <c r="V348" s="16"/>
      <c r="W348" s="16"/>
      <c r="X348" s="16"/>
      <c r="Y348" s="18" t="str">
        <f>VLOOKUP(A348,[3]Combi!$A$1:$B$304,2,0)</f>
        <v>SOP/PROD/HOSE/SPS/2/8</v>
      </c>
    </row>
    <row r="349" spans="1:25" s="18" customFormat="1" x14ac:dyDescent="0.25">
      <c r="A349" s="13" t="s">
        <v>1015</v>
      </c>
      <c r="B349" s="14" t="str">
        <f>VLOOKUP(A349,[1]Sheet1!$A$2:$F$379,2,0)</f>
        <v>G9227-VT020-B</v>
      </c>
      <c r="C349" s="14" t="s">
        <v>378</v>
      </c>
      <c r="D349" s="14" t="s">
        <v>1236</v>
      </c>
      <c r="E349" s="15">
        <v>184.96</v>
      </c>
      <c r="F349" s="14"/>
      <c r="G349" s="14"/>
      <c r="H349" s="14"/>
      <c r="I349" s="14"/>
      <c r="J349" s="15">
        <f t="shared" si="11"/>
        <v>184.96</v>
      </c>
      <c r="K349" s="14" t="s">
        <v>1265</v>
      </c>
      <c r="L349" s="15">
        <v>4.97</v>
      </c>
      <c r="M349" s="15">
        <f t="shared" si="10"/>
        <v>189.93</v>
      </c>
      <c r="N349" s="14" t="str">
        <f>VLOOKUP(A349,[2]Sheet1!$B$4:$F$352,3,0)</f>
        <v>CHS2L</v>
      </c>
      <c r="O349" s="16">
        <f>VLOOKUP(A349,[2]Sheet1!$B$4:$F$352,4,0)</f>
        <v>5</v>
      </c>
      <c r="P349" s="16"/>
      <c r="Q349" s="16">
        <f>VLOOKUP(A349,[2]Sheet1!$B$4:$F$352,4,0)</f>
        <v>5</v>
      </c>
      <c r="R349" s="17">
        <f>VLOOKUP(A349,[1]Sheet1!$A$2:$F$379,3,0)</f>
        <v>16</v>
      </c>
      <c r="S349" s="16">
        <f>VLOOKUP(A349,[1]Sheet1!$A$2:$F$379,4,0)</f>
        <v>24</v>
      </c>
      <c r="T349" s="16">
        <f>VLOOKUP(A349,[1]Sheet1!$A$2:$F$379,5,0)</f>
        <v>610</v>
      </c>
      <c r="U349" s="16"/>
      <c r="V349" s="16"/>
      <c r="W349" s="16"/>
      <c r="X349" s="16"/>
      <c r="Y349" s="18" t="str">
        <f>VLOOKUP(A349,[3]Combi!$A$1:$B$304,2,0)</f>
        <v>SOP/PROD/HOSE/SPS/2/8</v>
      </c>
    </row>
    <row r="350" spans="1:25" s="18" customFormat="1" x14ac:dyDescent="0.25">
      <c r="A350" s="13" t="s">
        <v>981</v>
      </c>
      <c r="B350" s="14" t="str">
        <f>VLOOKUP(A350,[1]Sheet1!$A$2:$F$379,2,0)</f>
        <v>G9228-VT020-B</v>
      </c>
      <c r="C350" s="14" t="s">
        <v>299</v>
      </c>
      <c r="D350" s="14" t="s">
        <v>1236</v>
      </c>
      <c r="E350" s="15">
        <v>198.04</v>
      </c>
      <c r="F350" s="14"/>
      <c r="G350" s="14"/>
      <c r="H350" s="14"/>
      <c r="I350" s="14"/>
      <c r="J350" s="15">
        <f t="shared" si="11"/>
        <v>198.04</v>
      </c>
      <c r="K350" s="14" t="s">
        <v>1265</v>
      </c>
      <c r="L350" s="15">
        <v>5.34</v>
      </c>
      <c r="M350" s="15">
        <f t="shared" si="10"/>
        <v>203.38</v>
      </c>
      <c r="N350" s="14" t="str">
        <f>VLOOKUP(A350,[2]Sheet1!$B$4:$F$352,3,0)</f>
        <v>CHS2L</v>
      </c>
      <c r="O350" s="16">
        <f>VLOOKUP(A350,[2]Sheet1!$B$4:$F$352,4,0)</f>
        <v>7</v>
      </c>
      <c r="P350" s="16"/>
      <c r="Q350" s="16">
        <f>VLOOKUP(A350,[2]Sheet1!$B$4:$F$352,4,0)</f>
        <v>7</v>
      </c>
      <c r="R350" s="17">
        <f>VLOOKUP(A350,[1]Sheet1!$A$2:$F$379,3,0)</f>
        <v>16</v>
      </c>
      <c r="S350" s="16">
        <f>VLOOKUP(A350,[1]Sheet1!$A$2:$F$379,4,0)</f>
        <v>24</v>
      </c>
      <c r="T350" s="16">
        <f>VLOOKUP(A350,[1]Sheet1!$A$2:$F$379,5,0)</f>
        <v>643</v>
      </c>
      <c r="U350" s="16"/>
      <c r="V350" s="16"/>
      <c r="W350" s="16"/>
      <c r="X350" s="16"/>
      <c r="Y350" s="18" t="str">
        <f>VLOOKUP(A350,[3]Combi!$A$1:$B$304,2,0)</f>
        <v>SOP/PROD/HOSE/SPS/2/8</v>
      </c>
    </row>
    <row r="351" spans="1:25" s="18" customFormat="1" x14ac:dyDescent="0.25">
      <c r="A351" s="13" t="s">
        <v>1017</v>
      </c>
      <c r="B351" s="14" t="str">
        <f>VLOOKUP(A351,[1]Sheet1!$A$2:$F$379,2,0)</f>
        <v>G9229-VT020-A</v>
      </c>
      <c r="C351" s="14" t="s">
        <v>382</v>
      </c>
      <c r="D351" s="14" t="s">
        <v>1236</v>
      </c>
      <c r="E351" s="15">
        <v>214.49</v>
      </c>
      <c r="F351" s="14"/>
      <c r="G351" s="14"/>
      <c r="H351" s="14"/>
      <c r="I351" s="14"/>
      <c r="J351" s="15">
        <f t="shared" si="11"/>
        <v>214.49</v>
      </c>
      <c r="K351" s="14" t="s">
        <v>1265</v>
      </c>
      <c r="L351" s="15">
        <v>5.78</v>
      </c>
      <c r="M351" s="15">
        <f t="shared" si="10"/>
        <v>220.27</v>
      </c>
      <c r="N351" s="14" t="str">
        <f>VLOOKUP(A351,[2]Sheet1!$B$4:$F$352,3,0)</f>
        <v>CHS2L</v>
      </c>
      <c r="O351" s="16">
        <f>VLOOKUP(A351,[2]Sheet1!$B$4:$F$352,4,0)</f>
        <v>4</v>
      </c>
      <c r="P351" s="16"/>
      <c r="Q351" s="16">
        <f>VLOOKUP(A351,[2]Sheet1!$B$4:$F$352,4,0)</f>
        <v>4</v>
      </c>
      <c r="R351" s="17">
        <f>VLOOKUP(A351,[1]Sheet1!$A$2:$F$379,3,0)</f>
        <v>16</v>
      </c>
      <c r="S351" s="16">
        <f>VLOOKUP(A351,[1]Sheet1!$A$2:$F$379,4,0)</f>
        <v>24</v>
      </c>
      <c r="T351" s="16">
        <f>VLOOKUP(A351,[1]Sheet1!$A$2:$F$379,5,0)</f>
        <v>558</v>
      </c>
      <c r="U351" s="16" t="str">
        <f>VLOOKUP(A351,[1]Sheet1!$A$2:$F$379,6,0)</f>
        <v>553±1</v>
      </c>
      <c r="V351" s="16"/>
      <c r="W351" s="16"/>
      <c r="X351" s="16"/>
      <c r="Y351" s="18" t="str">
        <f>VLOOKUP(A351,[3]Combi!$A$1:$B$304,2,0)</f>
        <v>SOP/PROD/HOSE/SPS/2/8</v>
      </c>
    </row>
    <row r="352" spans="1:25" s="18" customFormat="1" x14ac:dyDescent="0.25">
      <c r="A352" s="13" t="s">
        <v>1016</v>
      </c>
      <c r="B352" s="14" t="str">
        <f>VLOOKUP(A352,[1]Sheet1!$A$2:$F$379,2,0)</f>
        <v>G9229-VT020-A</v>
      </c>
      <c r="C352" s="14" t="s">
        <v>380</v>
      </c>
      <c r="D352" s="14" t="s">
        <v>1236</v>
      </c>
      <c r="E352" s="15">
        <v>160.94999999999999</v>
      </c>
      <c r="F352" s="14"/>
      <c r="G352" s="14"/>
      <c r="H352" s="14"/>
      <c r="I352" s="14"/>
      <c r="J352" s="15">
        <f t="shared" si="11"/>
        <v>160.94999999999999</v>
      </c>
      <c r="K352" s="14" t="s">
        <v>1265</v>
      </c>
      <c r="L352" s="15">
        <v>4.34</v>
      </c>
      <c r="M352" s="15">
        <f t="shared" si="10"/>
        <v>165.29</v>
      </c>
      <c r="N352" s="14" t="str">
        <f>VLOOKUP(A352,[2]Sheet1!$B$4:$F$352,3,0)</f>
        <v>CHS2L</v>
      </c>
      <c r="O352" s="16">
        <f>VLOOKUP(A352,[2]Sheet1!$B$4:$F$352,4,0)</f>
        <v>4</v>
      </c>
      <c r="P352" s="16"/>
      <c r="Q352" s="16">
        <f>VLOOKUP(A352,[2]Sheet1!$B$4:$F$352,4,0)</f>
        <v>4</v>
      </c>
      <c r="R352" s="17">
        <f>VLOOKUP(A352,[1]Sheet1!$A$2:$F$379,3,0)</f>
        <v>16</v>
      </c>
      <c r="S352" s="16">
        <f>VLOOKUP(A352,[1]Sheet1!$A$2:$F$379,4,0)</f>
        <v>24</v>
      </c>
      <c r="T352" s="16">
        <f>VLOOKUP(A352,[1]Sheet1!$A$2:$F$379,5,0)</f>
        <v>517</v>
      </c>
      <c r="U352" s="16"/>
      <c r="V352" s="16"/>
      <c r="W352" s="16"/>
      <c r="X352" s="16"/>
      <c r="Y352" s="18" t="str">
        <f>VLOOKUP(A352,[3]Combi!$A$1:$B$304,2,0)</f>
        <v>SOP/PROD/HOSE/SPS/2/8</v>
      </c>
    </row>
    <row r="353" spans="1:26" s="18" customFormat="1" x14ac:dyDescent="0.25">
      <c r="A353" s="13" t="s">
        <v>1039</v>
      </c>
      <c r="B353" s="14" t="str">
        <f>VLOOKUP(A353,[1]Sheet1!$A$2:$F$379,2,0)</f>
        <v>44772-VT010</v>
      </c>
      <c r="C353" s="14" t="s">
        <v>436</v>
      </c>
      <c r="D353" s="14" t="s">
        <v>1224</v>
      </c>
      <c r="E353" s="15">
        <v>14.96</v>
      </c>
      <c r="F353" s="14" t="s">
        <v>1225</v>
      </c>
      <c r="G353" s="15">
        <v>9</v>
      </c>
      <c r="H353" s="14" t="s">
        <v>1226</v>
      </c>
      <c r="I353" s="15">
        <v>18.98</v>
      </c>
      <c r="J353" s="15">
        <f t="shared" si="11"/>
        <v>42.94</v>
      </c>
      <c r="K353" s="14" t="s">
        <v>1264</v>
      </c>
      <c r="L353" s="15">
        <v>1.34</v>
      </c>
      <c r="M353" s="15">
        <f t="shared" si="10"/>
        <v>44.28</v>
      </c>
      <c r="N353" s="14" t="str">
        <f>VLOOKUP(A353,[2]Sheet1!$B$4:$F$352,3,0)</f>
        <v>CHS3L</v>
      </c>
      <c r="O353" s="16">
        <f>VLOOKUP(A353,[2]Sheet1!$B$4:$F$352,4,0)</f>
        <v>2</v>
      </c>
      <c r="P353" s="16"/>
      <c r="Q353" s="16">
        <f>VLOOKUP(A353,[2]Sheet1!$B$4:$F$352,4,0)</f>
        <v>2</v>
      </c>
      <c r="R353" s="17">
        <f>VLOOKUP(A353,[1]Sheet1!$A$2:$F$379,3,0)</f>
        <v>8.73</v>
      </c>
      <c r="S353" s="16">
        <f>VLOOKUP(A353,[1]Sheet1!$A$2:$F$379,4,0)</f>
        <v>17.46</v>
      </c>
      <c r="T353" s="16">
        <f>VLOOKUP(A353,[1]Sheet1!$A$2:$F$379,5,0)</f>
        <v>165</v>
      </c>
      <c r="U353" s="16"/>
      <c r="V353" s="16"/>
      <c r="W353" s="16"/>
      <c r="X353" s="16"/>
      <c r="Y353" s="18" t="str">
        <f>VLOOKUP(A353,[3]Combi!$A$1:$B$304,2,0)</f>
        <v>SOP/PROD/HOSE/SPS/3/6</v>
      </c>
    </row>
    <row r="354" spans="1:26" s="18" customFormat="1" x14ac:dyDescent="0.25">
      <c r="A354" s="13" t="s">
        <v>1007</v>
      </c>
      <c r="B354" s="14" t="str">
        <f>VLOOKUP(A354,[1]Sheet1!$A$2:$F$379,2,0)</f>
        <v>44774-VT010</v>
      </c>
      <c r="C354" s="14" t="s">
        <v>360</v>
      </c>
      <c r="D354" s="14" t="s">
        <v>1224</v>
      </c>
      <c r="E354" s="15">
        <v>34.58</v>
      </c>
      <c r="F354" s="14" t="s">
        <v>1225</v>
      </c>
      <c r="G354" s="15">
        <v>20.8</v>
      </c>
      <c r="H354" s="14" t="s">
        <v>1226</v>
      </c>
      <c r="I354" s="15">
        <v>43.88</v>
      </c>
      <c r="J354" s="15">
        <f t="shared" si="11"/>
        <v>99.259999999999991</v>
      </c>
      <c r="K354" s="14" t="s">
        <v>1264</v>
      </c>
      <c r="L354" s="15">
        <v>3.1</v>
      </c>
      <c r="M354" s="15">
        <f t="shared" si="10"/>
        <v>102.36</v>
      </c>
      <c r="N354" s="14" t="str">
        <f>VLOOKUP(A354,[2]Sheet1!$B$4:$F$352,3,0)</f>
        <v>CHS3L</v>
      </c>
      <c r="O354" s="16">
        <f>VLOOKUP(A354,[2]Sheet1!$B$4:$F$352,4,0)</f>
        <v>2</v>
      </c>
      <c r="P354" s="16"/>
      <c r="Q354" s="16">
        <f>VLOOKUP(A354,[2]Sheet1!$B$4:$F$352,4,0)</f>
        <v>2</v>
      </c>
      <c r="R354" s="17">
        <f>VLOOKUP(A354,[1]Sheet1!$A$2:$F$379,3,0)</f>
        <v>8.73</v>
      </c>
      <c r="S354" s="16">
        <f>VLOOKUP(A354,[1]Sheet1!$A$2:$F$379,4,0)</f>
        <v>17.46</v>
      </c>
      <c r="T354" s="16">
        <f>VLOOKUP(A354,[1]Sheet1!$A$2:$F$379,5,0)</f>
        <v>405</v>
      </c>
      <c r="U354" s="16"/>
      <c r="V354" s="16"/>
      <c r="W354" s="16"/>
      <c r="X354" s="16"/>
      <c r="Y354" s="18" t="str">
        <f>VLOOKUP(A354,[3]Combi!$A$1:$B$304,2,0)</f>
        <v>SOP/PROD/HOSE/SPS/3/6</v>
      </c>
    </row>
    <row r="355" spans="1:26" s="18" customFormat="1" x14ac:dyDescent="0.25">
      <c r="A355" s="13" t="s">
        <v>1014</v>
      </c>
      <c r="B355" s="14" t="str">
        <f>VLOOKUP(A355,[1]Sheet1!$A$2:$F$379,2,0)</f>
        <v>44774-VT020</v>
      </c>
      <c r="C355" s="14" t="s">
        <v>376</v>
      </c>
      <c r="D355" s="14" t="s">
        <v>1224</v>
      </c>
      <c r="E355" s="15">
        <v>45.33</v>
      </c>
      <c r="F355" s="14" t="s">
        <v>1225</v>
      </c>
      <c r="G355" s="15">
        <v>27.26</v>
      </c>
      <c r="H355" s="14" t="s">
        <v>1226</v>
      </c>
      <c r="I355" s="15">
        <v>57.52</v>
      </c>
      <c r="J355" s="15">
        <f t="shared" si="11"/>
        <v>130.11000000000001</v>
      </c>
      <c r="K355" s="14" t="s">
        <v>1264</v>
      </c>
      <c r="L355" s="15">
        <v>4.0599999999999996</v>
      </c>
      <c r="M355" s="15">
        <f t="shared" si="10"/>
        <v>134.17000000000002</v>
      </c>
      <c r="N355" s="14" t="str">
        <f>VLOOKUP(A355,[2]Sheet1!$B$4:$F$352,3,0)</f>
        <v>CHS3L</v>
      </c>
      <c r="O355" s="16">
        <f>VLOOKUP(A355,[2]Sheet1!$B$4:$F$352,4,0)</f>
        <v>2</v>
      </c>
      <c r="P355" s="16"/>
      <c r="Q355" s="16">
        <f>VLOOKUP(A355,[2]Sheet1!$B$4:$F$352,4,0)</f>
        <v>2</v>
      </c>
      <c r="R355" s="17">
        <f>VLOOKUP(A355,[1]Sheet1!$A$2:$F$379,3,0)</f>
        <v>8.73</v>
      </c>
      <c r="S355" s="16">
        <f>VLOOKUP(A355,[1]Sheet1!$A$2:$F$379,4,0)</f>
        <v>17.46</v>
      </c>
      <c r="T355" s="16">
        <f>VLOOKUP(A355,[1]Sheet1!$A$2:$F$379,5,0)</f>
        <v>530</v>
      </c>
      <c r="U355" s="16" t="str">
        <f>VLOOKUP(A355,[1]Sheet1!$A$2:$F$379,6,0)</f>
        <v>522-524</v>
      </c>
      <c r="V355" s="16"/>
      <c r="W355" s="16"/>
      <c r="X355" s="16"/>
      <c r="Y355" s="18" t="str">
        <f>VLOOKUP(A355,[3]Combi!$A$1:$B$304,2,0)</f>
        <v>SOP/PROD/HOSE/SPS/3/6</v>
      </c>
    </row>
    <row r="356" spans="1:26" s="18" customFormat="1" x14ac:dyDescent="0.25">
      <c r="A356" s="13" t="s">
        <v>1040</v>
      </c>
      <c r="B356" s="14" t="str">
        <f>VLOOKUP(A356,[1]Sheet1!$A$2:$F$379,2,0)</f>
        <v>G1271-907WL</v>
      </c>
      <c r="C356" s="14" t="s">
        <v>438</v>
      </c>
      <c r="D356" s="14" t="s">
        <v>1255</v>
      </c>
      <c r="E356" s="15">
        <v>47.92</v>
      </c>
      <c r="F356" s="14"/>
      <c r="G356" s="14"/>
      <c r="H356" s="14"/>
      <c r="I356" s="14"/>
      <c r="J356" s="15">
        <f t="shared" si="11"/>
        <v>47.92</v>
      </c>
      <c r="K356" s="14" t="s">
        <v>1264</v>
      </c>
      <c r="L356" s="15">
        <v>2.67</v>
      </c>
      <c r="M356" s="15">
        <f t="shared" si="10"/>
        <v>50.59</v>
      </c>
      <c r="N356" s="14" t="str">
        <f>VLOOKUP(A356,[2]Sheet1!$B$4:$F$352,3,0)</f>
        <v>CHS3L</v>
      </c>
      <c r="O356" s="16">
        <f>VLOOKUP(A356,[2]Sheet1!$B$4:$F$352,4,0)</f>
        <v>2</v>
      </c>
      <c r="P356" s="16"/>
      <c r="Q356" s="16">
        <f>VLOOKUP(A356,[2]Sheet1!$B$4:$F$352,4,0)</f>
        <v>2</v>
      </c>
      <c r="R356" s="17">
        <f>VLOOKUP(A356,[1]Sheet1!$A$2:$F$379,3,0)</f>
        <v>9.3000000000000007</v>
      </c>
      <c r="S356" s="16">
        <f>VLOOKUP(A356,[1]Sheet1!$A$2:$F$379,4,0)</f>
        <v>17.2</v>
      </c>
      <c r="T356" s="16">
        <f>VLOOKUP(A356,[1]Sheet1!$A$2:$F$379,5,0)</f>
        <v>262</v>
      </c>
      <c r="U356" s="16"/>
      <c r="V356" s="16"/>
      <c r="W356" s="16"/>
      <c r="X356" s="16"/>
      <c r="Y356" s="18" t="e">
        <f>VLOOKUP(A356,[3]Combi!$A$1:$B$304,2,0)</f>
        <v>#N/A</v>
      </c>
      <c r="Z356" s="22" t="s">
        <v>1291</v>
      </c>
    </row>
    <row r="357" spans="1:26" s="18" customFormat="1" x14ac:dyDescent="0.25">
      <c r="A357" s="13" t="s">
        <v>1192</v>
      </c>
      <c r="B357" s="14" t="str">
        <f>VLOOKUP(A357,[1]Sheet1!$A$2:$F$379,2,0)</f>
        <v>G1272-907WL</v>
      </c>
      <c r="C357" s="14" t="s">
        <v>816</v>
      </c>
      <c r="D357" s="14" t="s">
        <v>1255</v>
      </c>
      <c r="E357" s="15">
        <v>49.59</v>
      </c>
      <c r="F357" s="14"/>
      <c r="G357" s="14"/>
      <c r="H357" s="14"/>
      <c r="I357" s="14"/>
      <c r="J357" s="15">
        <f t="shared" si="11"/>
        <v>49.59</v>
      </c>
      <c r="K357" s="14" t="s">
        <v>1264</v>
      </c>
      <c r="L357" s="15">
        <v>2.85</v>
      </c>
      <c r="M357" s="15">
        <f t="shared" si="10"/>
        <v>52.440000000000005</v>
      </c>
      <c r="N357" s="14" t="str">
        <f>VLOOKUP(A357,[2]Sheet1!$B$4:$F$352,3,0)</f>
        <v>CHS3L</v>
      </c>
      <c r="O357" s="16">
        <f>VLOOKUP(A357,[2]Sheet1!$B$4:$F$352,4,0)</f>
        <v>2</v>
      </c>
      <c r="P357" s="16"/>
      <c r="Q357" s="16">
        <f>VLOOKUP(A357,[2]Sheet1!$B$4:$F$352,4,0)</f>
        <v>2</v>
      </c>
      <c r="R357" s="17">
        <f>VLOOKUP(A357,[1]Sheet1!$A$2:$F$379,3,0)</f>
        <v>9.3000000000000007</v>
      </c>
      <c r="S357" s="16">
        <f>VLOOKUP(A357,[1]Sheet1!$A$2:$F$379,4,0)</f>
        <v>17.2</v>
      </c>
      <c r="T357" s="16">
        <f>VLOOKUP(A357,[1]Sheet1!$A$2:$F$379,5,0)</f>
        <v>294</v>
      </c>
      <c r="U357" s="16"/>
      <c r="V357" s="16"/>
      <c r="W357" s="16"/>
      <c r="X357" s="16"/>
      <c r="Y357" s="18" t="e">
        <f>VLOOKUP(A357,[3]Combi!$A$1:$B$304,2,0)</f>
        <v>#N/A</v>
      </c>
      <c r="Z357" s="22" t="s">
        <v>1291</v>
      </c>
    </row>
    <row r="358" spans="1:26" s="18" customFormat="1" x14ac:dyDescent="0.25">
      <c r="A358" s="13" t="s">
        <v>970</v>
      </c>
      <c r="B358" s="14" t="str">
        <f>VLOOKUP(A358,[1]Sheet1!$A$2:$F$379,2,0)</f>
        <v>12261-BZ310</v>
      </c>
      <c r="C358" s="14" t="s">
        <v>268</v>
      </c>
      <c r="D358" s="14" t="s">
        <v>1235</v>
      </c>
      <c r="E358" s="15">
        <v>93.36</v>
      </c>
      <c r="F358" s="14" t="s">
        <v>1230</v>
      </c>
      <c r="G358" s="15">
        <v>20.25</v>
      </c>
      <c r="H358" s="14"/>
      <c r="I358" s="14"/>
      <c r="J358" s="15">
        <f t="shared" si="11"/>
        <v>113.61</v>
      </c>
      <c r="K358" s="14"/>
      <c r="L358" s="14"/>
      <c r="M358" s="15">
        <f t="shared" si="10"/>
        <v>113.61</v>
      </c>
      <c r="N358" s="14" t="str">
        <f>VLOOKUP(A358,[2]Sheet1!$B$4:$F$352,3,0)</f>
        <v>DL2</v>
      </c>
      <c r="O358" s="16">
        <f>VLOOKUP(A358,[2]Sheet1!$B$4:$F$352,4,0)</f>
        <v>6</v>
      </c>
      <c r="P358" s="16"/>
      <c r="Q358" s="16">
        <f>VLOOKUP(A358,[2]Sheet1!$B$4:$F$352,4,0)</f>
        <v>6</v>
      </c>
      <c r="R358" s="17">
        <f>VLOOKUP(A358,[1]Sheet1!$A$2:$F$379,3,0)</f>
        <v>9</v>
      </c>
      <c r="S358" s="16">
        <f>VLOOKUP(A358,[1]Sheet1!$A$2:$F$379,4,0)</f>
        <v>17</v>
      </c>
      <c r="T358" s="16" t="str">
        <f>VLOOKUP(A358,[1]Sheet1!$A$2:$F$379,5,0)</f>
        <v>570±2</v>
      </c>
      <c r="U358" s="16" t="str">
        <f>VLOOKUP(A358,[1]Sheet1!$A$2:$F$379,6,0)</f>
        <v>505-509</v>
      </c>
      <c r="V358" s="16"/>
      <c r="W358" s="16"/>
      <c r="X358" s="16"/>
      <c r="Y358" s="18" t="str">
        <f>VLOOKUP(A358,[3]Combi!$A$1:$B$304,2,0)</f>
        <v>SOP/PROD/HOSE/SPS/1/11</v>
      </c>
    </row>
    <row r="359" spans="1:26" s="18" customFormat="1" x14ac:dyDescent="0.25">
      <c r="A359" s="13" t="s">
        <v>963</v>
      </c>
      <c r="B359" s="14" t="str">
        <f>VLOOKUP(A359,[1]Sheet1!$A$2:$F$379,2,0)</f>
        <v>16572-BZ460-H</v>
      </c>
      <c r="C359" s="14" t="s">
        <v>252</v>
      </c>
      <c r="D359" s="14" t="s">
        <v>1237</v>
      </c>
      <c r="E359" s="15">
        <v>250</v>
      </c>
      <c r="F359" s="14"/>
      <c r="G359" s="14"/>
      <c r="H359" s="14"/>
      <c r="I359" s="14"/>
      <c r="J359" s="15">
        <f t="shared" si="11"/>
        <v>250</v>
      </c>
      <c r="K359" s="14" t="s">
        <v>1266</v>
      </c>
      <c r="L359" s="15">
        <v>5</v>
      </c>
      <c r="M359" s="15">
        <f t="shared" si="10"/>
        <v>255</v>
      </c>
      <c r="N359" s="14" t="str">
        <f>VLOOKUP(A359,[2]Sheet1!$B$4:$F$352,3,0)</f>
        <v>CHS2L</v>
      </c>
      <c r="O359" s="16">
        <f>VLOOKUP(A359,[2]Sheet1!$B$4:$F$352,4,0)</f>
        <v>7</v>
      </c>
      <c r="P359" s="16"/>
      <c r="Q359" s="16">
        <f>VLOOKUP(A359,[2]Sheet1!$B$4:$F$352,4,0)</f>
        <v>7</v>
      </c>
      <c r="R359" s="17">
        <f>VLOOKUP(A359,[1]Sheet1!$A$2:$F$379,3,0)</f>
        <v>30</v>
      </c>
      <c r="S359" s="16">
        <f>VLOOKUP(A359,[1]Sheet1!$A$2:$F$379,4,0)</f>
        <v>38</v>
      </c>
      <c r="T359" s="16">
        <f>VLOOKUP(A359,[1]Sheet1!$A$2:$F$379,5,0)</f>
        <v>422</v>
      </c>
      <c r="U359" s="16"/>
      <c r="V359" s="16"/>
      <c r="W359" s="16"/>
      <c r="X359" s="16"/>
      <c r="Y359" s="18" t="e">
        <f>VLOOKUP(A359,[3]Combi!$A$1:$B$304,2,0)</f>
        <v>#N/A</v>
      </c>
      <c r="Z359" s="22" t="s">
        <v>1315</v>
      </c>
    </row>
    <row r="360" spans="1:26" s="18" customFormat="1" x14ac:dyDescent="0.25">
      <c r="A360" s="13" t="s">
        <v>1028</v>
      </c>
      <c r="B360" s="14" t="str">
        <f>VLOOKUP(A360,[1]Sheet1!$A$2:$F$379,2,0)</f>
        <v>16571-BZ520-H</v>
      </c>
      <c r="C360" s="14" t="s">
        <v>408</v>
      </c>
      <c r="D360" s="14" t="s">
        <v>1237</v>
      </c>
      <c r="E360" s="15">
        <v>170</v>
      </c>
      <c r="F360" s="14"/>
      <c r="G360" s="14"/>
      <c r="H360" s="14"/>
      <c r="I360" s="14"/>
      <c r="J360" s="15">
        <f t="shared" si="11"/>
        <v>170</v>
      </c>
      <c r="K360" s="14" t="s">
        <v>1266</v>
      </c>
      <c r="L360" s="15">
        <v>4</v>
      </c>
      <c r="M360" s="15">
        <f t="shared" si="10"/>
        <v>174</v>
      </c>
      <c r="N360" s="14" t="str">
        <f>VLOOKUP(A360,[2]Sheet1!$B$4:$F$352,3,0)</f>
        <v>CHS2L</v>
      </c>
      <c r="O360" s="16">
        <f>VLOOKUP(A360,[2]Sheet1!$B$4:$F$352,4,0)</f>
        <v>5</v>
      </c>
      <c r="P360" s="16"/>
      <c r="Q360" s="16">
        <f>VLOOKUP(A360,[2]Sheet1!$B$4:$F$352,4,0)</f>
        <v>5</v>
      </c>
      <c r="R360" s="17">
        <f>VLOOKUP(A360,[1]Sheet1!$A$2:$F$379,3,0)</f>
        <v>30</v>
      </c>
      <c r="S360" s="16">
        <f>VLOOKUP(A360,[1]Sheet1!$A$2:$F$379,4,0)</f>
        <v>38</v>
      </c>
      <c r="T360" s="16">
        <f>VLOOKUP(A360,[1]Sheet1!$A$2:$F$379,5,0)</f>
        <v>296</v>
      </c>
      <c r="U360" s="16" t="str">
        <f>VLOOKUP(A360,[1]Sheet1!$A$2:$F$379,6,0)</f>
        <v>295±1</v>
      </c>
      <c r="V360" s="16"/>
      <c r="W360" s="16"/>
      <c r="X360" s="16"/>
      <c r="Y360" s="18" t="e">
        <f>VLOOKUP(A360,[3]Combi!$A$1:$B$304,2,0)</f>
        <v>#N/A</v>
      </c>
      <c r="Z360" s="22" t="s">
        <v>1315</v>
      </c>
    </row>
    <row r="361" spans="1:26" s="18" customFormat="1" x14ac:dyDescent="0.25">
      <c r="A361" s="13" t="s">
        <v>969</v>
      </c>
      <c r="B361" s="14" t="str">
        <f>VLOOKUP(A361,[1]Sheet1!$A$2:$F$379,2,0)</f>
        <v>31432-D03BL-1</v>
      </c>
      <c r="C361" s="14" t="s">
        <v>266</v>
      </c>
      <c r="D361" s="14" t="s">
        <v>1247</v>
      </c>
      <c r="E361" s="15">
        <v>0.48</v>
      </c>
      <c r="F361" s="14" t="s">
        <v>1230</v>
      </c>
      <c r="G361" s="15">
        <v>0.12</v>
      </c>
      <c r="H361" s="14"/>
      <c r="I361" s="14"/>
      <c r="J361" s="15">
        <f t="shared" si="11"/>
        <v>0.6</v>
      </c>
      <c r="K361" s="14"/>
      <c r="L361" s="14"/>
      <c r="M361" s="15">
        <f t="shared" si="10"/>
        <v>0.6</v>
      </c>
      <c r="N361" s="14" t="str">
        <f>VLOOKUP(A361,[2]Sheet1!$B$4:$F$352,3,0)</f>
        <v>DL1</v>
      </c>
      <c r="O361" s="16">
        <f>VLOOKUP(A361,[2]Sheet1!$B$4:$F$352,4,0)</f>
        <v>2</v>
      </c>
      <c r="P361" s="16"/>
      <c r="Q361" s="16">
        <f>VLOOKUP(A361,[2]Sheet1!$B$4:$F$352,4,0)</f>
        <v>2</v>
      </c>
      <c r="R361" s="17">
        <f>VLOOKUP(A361,[1]Sheet1!$A$2:$F$379,3,0)</f>
        <v>3.5</v>
      </c>
      <c r="S361" s="16">
        <f>VLOOKUP(A361,[1]Sheet1!$A$2:$F$379,4,0)</f>
        <v>7.5</v>
      </c>
      <c r="T361" s="16" t="str">
        <f>VLOOKUP(A361,[1]Sheet1!$A$2:$F$379,5,0)</f>
        <v>12±3</v>
      </c>
      <c r="U361" s="16">
        <f>VLOOKUP(A361,[1]Sheet1!$A$2:$F$379,6,0)</f>
        <v>0</v>
      </c>
      <c r="V361" s="16"/>
      <c r="W361" s="16"/>
      <c r="X361" s="16"/>
      <c r="Y361" s="18" t="e">
        <f>VLOOKUP(A361,[3]Combi!$A$1:$B$304,2,0)</f>
        <v>#N/A</v>
      </c>
      <c r="Z361" s="22" t="s">
        <v>1310</v>
      </c>
    </row>
    <row r="362" spans="1:26" s="18" customFormat="1" x14ac:dyDescent="0.25">
      <c r="A362" s="13" t="s">
        <v>1201</v>
      </c>
      <c r="B362" s="14" t="str">
        <f>VLOOKUP(A362,[1]Sheet1!$A$2:$F$379,2,0)</f>
        <v>12261-BZ320-H</v>
      </c>
      <c r="C362" s="14" t="s">
        <v>834</v>
      </c>
      <c r="D362" s="14" t="s">
        <v>1235</v>
      </c>
      <c r="E362" s="15">
        <v>123.89</v>
      </c>
      <c r="F362" s="14" t="s">
        <v>1230</v>
      </c>
      <c r="G362" s="15">
        <v>29.85</v>
      </c>
      <c r="H362" s="14"/>
      <c r="I362" s="14"/>
      <c r="J362" s="15">
        <f t="shared" si="11"/>
        <v>153.74</v>
      </c>
      <c r="K362" s="14"/>
      <c r="L362" s="14"/>
      <c r="M362" s="15">
        <f t="shared" si="10"/>
        <v>153.74</v>
      </c>
      <c r="N362" s="14" t="str">
        <f>VLOOKUP(A362,[2]Sheet1!$B$4:$F$352,3,0)</f>
        <v>DL2</v>
      </c>
      <c r="O362" s="16">
        <f>VLOOKUP(A362,[2]Sheet1!$B$4:$F$352,4,0)</f>
        <v>5</v>
      </c>
      <c r="P362" s="16"/>
      <c r="Q362" s="16">
        <f>VLOOKUP(A362,[2]Sheet1!$B$4:$F$352,4,0)</f>
        <v>5</v>
      </c>
      <c r="R362" s="17">
        <f>VLOOKUP(A362,[1]Sheet1!$A$2:$F$379,3,0)</f>
        <v>9</v>
      </c>
      <c r="S362" s="16">
        <f>VLOOKUP(A362,[1]Sheet1!$A$2:$F$379,4,0)</f>
        <v>17</v>
      </c>
      <c r="T362" s="16" t="str">
        <f>VLOOKUP(A362,[1]Sheet1!$A$2:$F$379,5,0)</f>
        <v>735±2</v>
      </c>
      <c r="U362" s="16">
        <f>VLOOKUP(A362,[1]Sheet1!$A$2:$F$379,6,0)</f>
        <v>0</v>
      </c>
      <c r="V362" s="16"/>
      <c r="W362" s="16"/>
      <c r="X362" s="16"/>
      <c r="Y362" s="18" t="e">
        <f>VLOOKUP(A362,[3]Combi!$A$1:$B$304,2,0)</f>
        <v>#N/A</v>
      </c>
      <c r="Z362" s="22" t="s">
        <v>1316</v>
      </c>
    </row>
    <row r="363" spans="1:26" s="18" customFormat="1" x14ac:dyDescent="0.25">
      <c r="A363" s="13" t="s">
        <v>1203</v>
      </c>
      <c r="B363" s="14" t="str">
        <f>VLOOKUP(A363,[1]Sheet1!$A$2:$F$379,2,0)</f>
        <v>12262-BZ230-H</v>
      </c>
      <c r="C363" s="14" t="s">
        <v>838</v>
      </c>
      <c r="D363" s="14" t="s">
        <v>1235</v>
      </c>
      <c r="E363" s="15">
        <v>81.790000000000006</v>
      </c>
      <c r="F363" s="14" t="s">
        <v>1230</v>
      </c>
      <c r="G363" s="15">
        <v>20.63</v>
      </c>
      <c r="H363" s="14"/>
      <c r="I363" s="14"/>
      <c r="J363" s="15">
        <f t="shared" si="11"/>
        <v>102.42</v>
      </c>
      <c r="K363" s="14"/>
      <c r="L363" s="14"/>
      <c r="M363" s="15">
        <f t="shared" si="10"/>
        <v>102.42</v>
      </c>
      <c r="N363" s="14" t="str">
        <f>VLOOKUP(A363,[2]Sheet1!$B$4:$F$352,3,0)</f>
        <v>DL2</v>
      </c>
      <c r="O363" s="16">
        <f>VLOOKUP(A363,[2]Sheet1!$B$4:$F$352,4,0)</f>
        <v>4</v>
      </c>
      <c r="P363" s="16"/>
      <c r="Q363" s="16">
        <f>VLOOKUP(A363,[2]Sheet1!$B$4:$F$352,4,0)</f>
        <v>4</v>
      </c>
      <c r="R363" s="17">
        <f>VLOOKUP(A363,[1]Sheet1!$A$2:$F$379,3,0)</f>
        <v>15</v>
      </c>
      <c r="S363" s="16">
        <f>VLOOKUP(A363,[1]Sheet1!$A$2:$F$379,4,0)</f>
        <v>22</v>
      </c>
      <c r="T363" s="16" t="str">
        <f>VLOOKUP(A363,[1]Sheet1!$A$2:$F$379,5,0)</f>
        <v>400±2</v>
      </c>
      <c r="U363" s="16"/>
      <c r="V363" s="16"/>
      <c r="W363" s="16"/>
      <c r="X363" s="16"/>
      <c r="Y363" s="18" t="e">
        <f>VLOOKUP(A363,[3]Combi!$A$1:$B$304,2,0)</f>
        <v>#N/A</v>
      </c>
      <c r="Z363" s="22" t="s">
        <v>1296</v>
      </c>
    </row>
    <row r="364" spans="1:26" s="18" customFormat="1" x14ac:dyDescent="0.25">
      <c r="A364" s="13" t="s">
        <v>1205</v>
      </c>
      <c r="B364" s="14" t="str">
        <f>VLOOKUP(A364,[1]Sheet1!$A$2:$F$379,2,0)</f>
        <v>16572-BZ490</v>
      </c>
      <c r="C364" s="14" t="s">
        <v>842</v>
      </c>
      <c r="D364" s="14" t="s">
        <v>1237</v>
      </c>
      <c r="E364" s="15">
        <v>250.36</v>
      </c>
      <c r="F364" s="14"/>
      <c r="G364" s="14"/>
      <c r="H364" s="14"/>
      <c r="I364" s="14"/>
      <c r="J364" s="15">
        <f t="shared" si="11"/>
        <v>250.36</v>
      </c>
      <c r="K364" s="14" t="s">
        <v>1266</v>
      </c>
      <c r="L364" s="15">
        <v>4.9800000000000004</v>
      </c>
      <c r="M364" s="15">
        <f t="shared" si="10"/>
        <v>255.34</v>
      </c>
      <c r="N364" s="14" t="str">
        <f>VLOOKUP(A364,[2]Sheet1!$B$4:$F$352,3,0)</f>
        <v>CHS2L</v>
      </c>
      <c r="O364" s="16">
        <f>VLOOKUP(A364,[2]Sheet1!$B$4:$F$352,4,0)</f>
        <v>2</v>
      </c>
      <c r="P364" s="16"/>
      <c r="Q364" s="16">
        <f>VLOOKUP(A364,[2]Sheet1!$B$4:$F$352,4,0)</f>
        <v>2</v>
      </c>
      <c r="R364" s="17">
        <f>VLOOKUP(A364,[1]Sheet1!$A$2:$F$379,3,0)</f>
        <v>30</v>
      </c>
      <c r="S364" s="16">
        <f>VLOOKUP(A364,[1]Sheet1!$A$2:$F$379,4,0)</f>
        <v>38</v>
      </c>
      <c r="T364" s="16">
        <f>VLOOKUP(A364,[1]Sheet1!$A$2:$F$379,5,0)</f>
        <v>450</v>
      </c>
      <c r="U364" s="16"/>
      <c r="V364" s="16"/>
      <c r="W364" s="16"/>
      <c r="X364" s="16"/>
      <c r="Y364" s="18" t="str">
        <f>VLOOKUP(A364,[3]Combi!$A$1:$B$304,2,0)</f>
        <v>SOP/PROD/HOSE/SPS/2/14</v>
      </c>
    </row>
    <row r="365" spans="1:26" s="18" customFormat="1" x14ac:dyDescent="0.25">
      <c r="A365" s="13" t="s">
        <v>1204</v>
      </c>
      <c r="B365" s="14" t="str">
        <f>VLOOKUP(A365,[1]Sheet1!$A$2:$F$379,2,0)</f>
        <v>16571-BZ560-H</v>
      </c>
      <c r="C365" s="14" t="s">
        <v>840</v>
      </c>
      <c r="D365" s="14" t="s">
        <v>1237</v>
      </c>
      <c r="E365" s="15">
        <v>279.63</v>
      </c>
      <c r="F365" s="14"/>
      <c r="G365" s="14"/>
      <c r="H365" s="14"/>
      <c r="I365" s="14"/>
      <c r="J365" s="15">
        <f t="shared" si="11"/>
        <v>279.63</v>
      </c>
      <c r="K365" s="14" t="s">
        <v>1266</v>
      </c>
      <c r="L365" s="15">
        <v>5.57</v>
      </c>
      <c r="M365" s="15">
        <f t="shared" si="10"/>
        <v>285.2</v>
      </c>
      <c r="N365" s="14" t="str">
        <f>VLOOKUP(A365,[2]Sheet1!$B$4:$F$352,3,0)</f>
        <v>CHS2L</v>
      </c>
      <c r="O365" s="16">
        <f>VLOOKUP(A365,[2]Sheet1!$B$4:$F$352,4,0)</f>
        <v>5</v>
      </c>
      <c r="P365" s="16"/>
      <c r="Q365" s="16">
        <f>VLOOKUP(A365,[2]Sheet1!$B$4:$F$352,4,0)</f>
        <v>5</v>
      </c>
      <c r="R365" s="17">
        <f>VLOOKUP(A365,[1]Sheet1!$A$2:$F$379,3,0)</f>
        <v>30</v>
      </c>
      <c r="S365" s="16">
        <f>VLOOKUP(A365,[1]Sheet1!$A$2:$F$379,4,0)</f>
        <v>38</v>
      </c>
      <c r="T365" s="16">
        <f>VLOOKUP(A365,[1]Sheet1!$A$2:$F$379,5,0)</f>
        <v>500</v>
      </c>
      <c r="U365" s="16" t="str">
        <f>VLOOKUP(A365,[1]Sheet1!$A$2:$F$379,6,0)</f>
        <v>498±1</v>
      </c>
      <c r="V365" s="16"/>
      <c r="W365" s="16"/>
      <c r="X365" s="16"/>
      <c r="Y365" s="18" t="str">
        <f>VLOOKUP(A365,[3]Combi!$A$1:$B$304,2,0)</f>
        <v>SOP/PROD/HOSE/SPS/2/14</v>
      </c>
    </row>
  </sheetData>
  <autoFilter ref="A1:Z365" xr:uid="{2A0C5DD7-6D36-4788-A97D-77DE67A7102E}"/>
  <sortState xmlns:xlrd2="http://schemas.microsoft.com/office/spreadsheetml/2017/richdata2" ref="A2:Y365">
    <sortCondition ref="Y1:Y365"/>
  </sortState>
  <dataValidations count="1">
    <dataValidation type="list" allowBlank="1" showInputMessage="1" showErrorMessage="1" sqref="P1:P1048576" xr:uid="{F8B4B1A3-1EA3-447C-9D30-32E7A6EC4C7A}">
      <formula1>"Ring, Cap 1, Cap 2, Loyang"</formula1>
    </dataValidation>
  </dataValidations>
  <pageMargins left="0.25" right="0.25" top="0.75" bottom="0.75" header="0.3" footer="0.3"/>
  <pageSetup scale="15" fitToWidth="0" orientation="portrait" r:id="rId1"/>
  <ignoredErrors>
    <ignoredError sqref="K1:O1 Q1:Y52 Q55:Y55 Q53:X54 Q57:Y57 Q56:X56 Q58:X58 Q59:Y162 Q163:X163 Q164:Y365 A1:I1 J2:J365 N2:N36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7"/>
  <sheetViews>
    <sheetView topLeftCell="A82" zoomScale="105" zoomScaleNormal="100" workbookViewId="0">
      <selection activeCell="A291" sqref="A291"/>
    </sheetView>
  </sheetViews>
  <sheetFormatPr defaultRowHeight="13.2" x14ac:dyDescent="0.25"/>
  <cols>
    <col min="1" max="1" width="22" style="3" customWidth="1"/>
    <col min="2" max="2" width="8" style="3" customWidth="1"/>
    <col min="3" max="3" width="42" style="3" bestFit="1" customWidth="1"/>
    <col min="4" max="4" width="7" style="3" customWidth="1"/>
    <col min="5" max="5" width="9" style="3" bestFit="1" customWidth="1"/>
    <col min="6" max="6" width="13" style="3" bestFit="1" customWidth="1"/>
    <col min="7" max="7" width="28" style="3" bestFit="1" customWidth="1"/>
    <col min="8" max="8" width="9" style="3" customWidth="1"/>
    <col min="9" max="9" width="28" style="3" bestFit="1" customWidth="1"/>
    <col min="10" max="10" width="9" style="3" bestFit="1" customWidth="1"/>
    <col min="11" max="11" width="28" style="3" bestFit="1" customWidth="1"/>
    <col min="12" max="12" width="9" style="1" bestFit="1" customWidth="1"/>
    <col min="13" max="13" width="28" style="2" bestFit="1" customWidth="1"/>
    <col min="14" max="14" width="9" style="1" bestFit="1" customWidth="1"/>
    <col min="15" max="15" width="13.44140625" style="1" bestFit="1" customWidth="1"/>
  </cols>
  <sheetData>
    <row r="1" spans="1:14" ht="30" customHeight="1" x14ac:dyDescent="0.25">
      <c r="A1" s="4" t="s">
        <v>0</v>
      </c>
      <c r="B1" s="5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6</v>
      </c>
      <c r="K1" s="4" t="s">
        <v>8</v>
      </c>
      <c r="L1" s="4" t="s">
        <v>6</v>
      </c>
      <c r="M1" s="4" t="s">
        <v>9</v>
      </c>
      <c r="N1" s="4" t="s">
        <v>6</v>
      </c>
    </row>
    <row r="2" spans="1:14" x14ac:dyDescent="0.25">
      <c r="A2" s="6" t="s">
        <v>10</v>
      </c>
      <c r="B2" s="6" t="str">
        <f t="shared" ref="B2:B65" si="0">MID(A2,8,6)</f>
        <v>MS0080</v>
      </c>
      <c r="C2" s="6" t="s">
        <v>11</v>
      </c>
      <c r="D2" s="6" t="s">
        <v>12</v>
      </c>
      <c r="E2" s="6" t="s">
        <v>13</v>
      </c>
      <c r="F2" s="6" t="s">
        <v>13</v>
      </c>
      <c r="G2" s="6" t="s">
        <v>14</v>
      </c>
      <c r="H2" s="7">
        <v>42.53</v>
      </c>
      <c r="I2" s="6"/>
      <c r="J2" s="6"/>
      <c r="K2" s="6"/>
      <c r="L2" s="6"/>
      <c r="M2" s="6"/>
      <c r="N2" s="6"/>
    </row>
    <row r="3" spans="1:14" x14ac:dyDescent="0.25">
      <c r="A3" s="6" t="s">
        <v>15</v>
      </c>
      <c r="B3" s="6" t="str">
        <f t="shared" si="0"/>
        <v>MS0120</v>
      </c>
      <c r="C3" s="6" t="s">
        <v>16</v>
      </c>
      <c r="D3" s="6" t="s">
        <v>12</v>
      </c>
      <c r="E3" s="6" t="s">
        <v>13</v>
      </c>
      <c r="F3" s="6" t="s">
        <v>13</v>
      </c>
      <c r="G3" s="6" t="s">
        <v>14</v>
      </c>
      <c r="H3" s="7">
        <v>47.25</v>
      </c>
      <c r="I3" s="6"/>
      <c r="J3" s="6"/>
      <c r="K3" s="6"/>
      <c r="L3" s="6"/>
      <c r="M3" s="6"/>
      <c r="N3" s="6"/>
    </row>
    <row r="4" spans="1:14" x14ac:dyDescent="0.25">
      <c r="A4" s="6" t="s">
        <v>17</v>
      </c>
      <c r="B4" s="6" t="str">
        <f t="shared" si="0"/>
        <v>MS0090</v>
      </c>
      <c r="C4" s="6" t="s">
        <v>18</v>
      </c>
      <c r="D4" s="6" t="s">
        <v>12</v>
      </c>
      <c r="E4" s="6" t="s">
        <v>13</v>
      </c>
      <c r="F4" s="6" t="s">
        <v>13</v>
      </c>
      <c r="G4" s="6" t="s">
        <v>14</v>
      </c>
      <c r="H4" s="7">
        <v>42.53</v>
      </c>
      <c r="I4" s="6"/>
      <c r="J4" s="6"/>
      <c r="K4" s="6"/>
      <c r="L4" s="6"/>
      <c r="M4" s="6"/>
      <c r="N4" s="6"/>
    </row>
    <row r="5" spans="1:14" x14ac:dyDescent="0.25">
      <c r="A5" s="6" t="s">
        <v>19</v>
      </c>
      <c r="B5" s="6" t="str">
        <f t="shared" si="0"/>
        <v>MS0100</v>
      </c>
      <c r="C5" s="6" t="s">
        <v>20</v>
      </c>
      <c r="D5" s="6" t="s">
        <v>12</v>
      </c>
      <c r="E5" s="6" t="s">
        <v>13</v>
      </c>
      <c r="F5" s="6" t="s">
        <v>13</v>
      </c>
      <c r="G5" s="6" t="s">
        <v>14</v>
      </c>
      <c r="H5" s="7">
        <v>39.83</v>
      </c>
      <c r="I5" s="6"/>
      <c r="J5" s="6"/>
      <c r="K5" s="6"/>
      <c r="L5" s="6"/>
      <c r="M5" s="6"/>
      <c r="N5" s="6"/>
    </row>
    <row r="6" spans="1:14" x14ac:dyDescent="0.25">
      <c r="A6" s="6" t="s">
        <v>21</v>
      </c>
      <c r="B6" s="6" t="str">
        <f t="shared" si="0"/>
        <v>MS0110</v>
      </c>
      <c r="C6" s="6" t="s">
        <v>22</v>
      </c>
      <c r="D6" s="6" t="s">
        <v>12</v>
      </c>
      <c r="E6" s="6" t="s">
        <v>13</v>
      </c>
      <c r="F6" s="6" t="s">
        <v>13</v>
      </c>
      <c r="G6" s="6" t="s">
        <v>14</v>
      </c>
      <c r="H6" s="7">
        <v>49.95</v>
      </c>
      <c r="I6" s="6"/>
      <c r="J6" s="6"/>
      <c r="K6" s="6"/>
      <c r="L6" s="6"/>
      <c r="M6" s="6"/>
      <c r="N6" s="6"/>
    </row>
    <row r="7" spans="1:14" x14ac:dyDescent="0.25">
      <c r="A7" s="6" t="s">
        <v>23</v>
      </c>
      <c r="B7" s="6" t="str">
        <f t="shared" si="0"/>
        <v>TA1741</v>
      </c>
      <c r="C7" s="6" t="s">
        <v>24</v>
      </c>
      <c r="D7" s="6" t="s">
        <v>12</v>
      </c>
      <c r="E7" s="6" t="s">
        <v>13</v>
      </c>
      <c r="F7" s="6" t="s">
        <v>13</v>
      </c>
      <c r="G7" s="6" t="s">
        <v>25</v>
      </c>
      <c r="H7" s="7">
        <v>18.27</v>
      </c>
      <c r="I7" s="6" t="s">
        <v>26</v>
      </c>
      <c r="J7" s="7">
        <v>18.77</v>
      </c>
      <c r="K7" s="6" t="s">
        <v>27</v>
      </c>
      <c r="L7" s="7">
        <v>29.86</v>
      </c>
      <c r="M7" s="6" t="s">
        <v>28</v>
      </c>
      <c r="N7" s="7">
        <v>3.14</v>
      </c>
    </row>
    <row r="8" spans="1:14" x14ac:dyDescent="0.25">
      <c r="A8" s="6" t="s">
        <v>29</v>
      </c>
      <c r="B8" s="6" t="str">
        <f t="shared" si="0"/>
        <v>TA1553</v>
      </c>
      <c r="C8" s="6" t="s">
        <v>30</v>
      </c>
      <c r="D8" s="6" t="s">
        <v>12</v>
      </c>
      <c r="E8" s="6" t="s">
        <v>13</v>
      </c>
      <c r="F8" s="6" t="s">
        <v>13</v>
      </c>
      <c r="G8" s="6" t="s">
        <v>31</v>
      </c>
      <c r="H8" s="7">
        <v>13.13</v>
      </c>
      <c r="I8" s="6" t="s">
        <v>32</v>
      </c>
      <c r="J8" s="7">
        <v>10.74</v>
      </c>
      <c r="K8" s="6" t="s">
        <v>33</v>
      </c>
      <c r="L8" s="7">
        <v>29.3</v>
      </c>
      <c r="M8" s="6" t="s">
        <v>34</v>
      </c>
      <c r="N8" s="7">
        <v>1.3</v>
      </c>
    </row>
    <row r="9" spans="1:14" x14ac:dyDescent="0.25">
      <c r="A9" s="6" t="s">
        <v>35</v>
      </c>
      <c r="B9" s="6" t="str">
        <f t="shared" si="0"/>
        <v>TA1581</v>
      </c>
      <c r="C9" s="6" t="s">
        <v>36</v>
      </c>
      <c r="D9" s="6" t="s">
        <v>12</v>
      </c>
      <c r="E9" s="6" t="s">
        <v>13</v>
      </c>
      <c r="F9" s="6" t="s">
        <v>13</v>
      </c>
      <c r="G9" s="6" t="s">
        <v>31</v>
      </c>
      <c r="H9" s="7">
        <v>20.03</v>
      </c>
      <c r="I9" s="6" t="s">
        <v>37</v>
      </c>
      <c r="J9" s="7">
        <v>7.11</v>
      </c>
      <c r="K9" s="6" t="s">
        <v>38</v>
      </c>
      <c r="L9" s="7">
        <v>36.36</v>
      </c>
      <c r="M9" s="6" t="s">
        <v>28</v>
      </c>
      <c r="N9" s="7">
        <v>1.61</v>
      </c>
    </row>
    <row r="10" spans="1:14" x14ac:dyDescent="0.25">
      <c r="A10" s="6" t="s">
        <v>39</v>
      </c>
      <c r="B10" s="6" t="str">
        <f t="shared" si="0"/>
        <v>TA1582</v>
      </c>
      <c r="C10" s="6" t="s">
        <v>40</v>
      </c>
      <c r="D10" s="6" t="s">
        <v>12</v>
      </c>
      <c r="E10" s="6" t="s">
        <v>13</v>
      </c>
      <c r="F10" s="6" t="s">
        <v>13</v>
      </c>
      <c r="G10" s="6" t="s">
        <v>31</v>
      </c>
      <c r="H10" s="7">
        <v>11.2</v>
      </c>
      <c r="I10" s="6" t="s">
        <v>37</v>
      </c>
      <c r="J10" s="7">
        <v>3.98</v>
      </c>
      <c r="K10" s="6" t="s">
        <v>38</v>
      </c>
      <c r="L10" s="7">
        <v>20.329999999999998</v>
      </c>
      <c r="M10" s="6" t="s">
        <v>28</v>
      </c>
      <c r="N10" s="7">
        <v>0.9</v>
      </c>
    </row>
    <row r="11" spans="1:14" x14ac:dyDescent="0.25">
      <c r="A11" s="6" t="s">
        <v>41</v>
      </c>
      <c r="B11" s="6" t="str">
        <f t="shared" si="0"/>
        <v>TA1840</v>
      </c>
      <c r="C11" s="6" t="s">
        <v>42</v>
      </c>
      <c r="D11" s="6" t="s">
        <v>12</v>
      </c>
      <c r="E11" s="6" t="s">
        <v>13</v>
      </c>
      <c r="F11" s="6" t="s">
        <v>13</v>
      </c>
      <c r="G11" s="6" t="s">
        <v>43</v>
      </c>
      <c r="H11" s="7">
        <v>30.42</v>
      </c>
      <c r="I11" s="6" t="s">
        <v>44</v>
      </c>
      <c r="J11" s="7">
        <v>8.0399999999999991</v>
      </c>
      <c r="K11" s="6"/>
      <c r="L11" s="6"/>
      <c r="M11" s="6"/>
      <c r="N11" s="6"/>
    </row>
    <row r="12" spans="1:14" x14ac:dyDescent="0.25">
      <c r="A12" s="6" t="s">
        <v>45</v>
      </c>
      <c r="B12" s="6" t="str">
        <f t="shared" si="0"/>
        <v>TA1800</v>
      </c>
      <c r="C12" s="6" t="s">
        <v>46</v>
      </c>
      <c r="D12" s="6" t="s">
        <v>12</v>
      </c>
      <c r="E12" s="6" t="s">
        <v>13</v>
      </c>
      <c r="F12" s="6" t="s">
        <v>13</v>
      </c>
      <c r="G12" s="6" t="s">
        <v>31</v>
      </c>
      <c r="H12" s="7">
        <v>31.41</v>
      </c>
      <c r="I12" s="6" t="s">
        <v>32</v>
      </c>
      <c r="J12" s="7">
        <v>27.02</v>
      </c>
      <c r="K12" s="6" t="s">
        <v>33</v>
      </c>
      <c r="L12" s="7">
        <v>69.91</v>
      </c>
      <c r="M12" s="6" t="s">
        <v>34</v>
      </c>
      <c r="N12" s="7">
        <v>3.39</v>
      </c>
    </row>
    <row r="13" spans="1:14" x14ac:dyDescent="0.25">
      <c r="A13" s="6" t="s">
        <v>47</v>
      </c>
      <c r="B13" s="6" t="str">
        <f t="shared" si="0"/>
        <v>TA1810</v>
      </c>
      <c r="C13" s="6" t="s">
        <v>48</v>
      </c>
      <c r="D13" s="6" t="s">
        <v>12</v>
      </c>
      <c r="E13" s="6" t="s">
        <v>13</v>
      </c>
      <c r="F13" s="6" t="s">
        <v>13</v>
      </c>
      <c r="G13" s="6" t="s">
        <v>31</v>
      </c>
      <c r="H13" s="7">
        <v>18.04</v>
      </c>
      <c r="I13" s="6" t="s">
        <v>32</v>
      </c>
      <c r="J13" s="7">
        <v>15.52</v>
      </c>
      <c r="K13" s="6" t="s">
        <v>33</v>
      </c>
      <c r="L13" s="7">
        <v>40.14</v>
      </c>
      <c r="M13" s="6" t="s">
        <v>34</v>
      </c>
      <c r="N13" s="7">
        <v>1.94</v>
      </c>
    </row>
    <row r="14" spans="1:14" x14ac:dyDescent="0.25">
      <c r="A14" s="6" t="s">
        <v>49</v>
      </c>
      <c r="B14" s="6" t="str">
        <f t="shared" si="0"/>
        <v>TA1921</v>
      </c>
      <c r="C14" s="6" t="s">
        <v>50</v>
      </c>
      <c r="D14" s="6" t="s">
        <v>12</v>
      </c>
      <c r="E14" s="6" t="s">
        <v>13</v>
      </c>
      <c r="F14" s="6" t="s">
        <v>13</v>
      </c>
      <c r="G14" s="6" t="s">
        <v>51</v>
      </c>
      <c r="H14" s="7">
        <v>12.09</v>
      </c>
      <c r="I14" s="6" t="s">
        <v>52</v>
      </c>
      <c r="J14" s="7">
        <v>24.77</v>
      </c>
      <c r="K14" s="6" t="s">
        <v>53</v>
      </c>
      <c r="L14" s="7">
        <v>28.37</v>
      </c>
      <c r="M14" s="6" t="s">
        <v>28</v>
      </c>
      <c r="N14" s="7">
        <v>3.16</v>
      </c>
    </row>
    <row r="15" spans="1:14" x14ac:dyDescent="0.25">
      <c r="A15" s="6" t="s">
        <v>54</v>
      </c>
      <c r="B15" s="6" t="str">
        <f t="shared" si="0"/>
        <v>TA1551</v>
      </c>
      <c r="C15" s="6" t="s">
        <v>55</v>
      </c>
      <c r="D15" s="6" t="s">
        <v>12</v>
      </c>
      <c r="E15" s="6" t="s">
        <v>13</v>
      </c>
      <c r="F15" s="6" t="s">
        <v>13</v>
      </c>
      <c r="G15" s="6" t="s">
        <v>31</v>
      </c>
      <c r="H15" s="7">
        <v>21.29</v>
      </c>
      <c r="I15" s="6" t="s">
        <v>32</v>
      </c>
      <c r="J15" s="7">
        <v>18.32</v>
      </c>
      <c r="K15" s="6" t="s">
        <v>33</v>
      </c>
      <c r="L15" s="7">
        <v>47.39</v>
      </c>
      <c r="M15" s="6" t="s">
        <v>34</v>
      </c>
      <c r="N15" s="7">
        <v>2.2999999999999998</v>
      </c>
    </row>
    <row r="16" spans="1:14" x14ac:dyDescent="0.25">
      <c r="A16" s="6" t="s">
        <v>56</v>
      </c>
      <c r="B16" s="6" t="str">
        <f t="shared" si="0"/>
        <v>TA1511</v>
      </c>
      <c r="C16" s="6" t="s">
        <v>57</v>
      </c>
      <c r="D16" s="6" t="s">
        <v>12</v>
      </c>
      <c r="E16" s="6" t="s">
        <v>13</v>
      </c>
      <c r="F16" s="6" t="s">
        <v>13</v>
      </c>
      <c r="G16" s="6" t="s">
        <v>51</v>
      </c>
      <c r="H16" s="7">
        <v>41.9</v>
      </c>
      <c r="I16" s="6" t="s">
        <v>52</v>
      </c>
      <c r="J16" s="7">
        <v>19.8</v>
      </c>
      <c r="K16" s="6" t="s">
        <v>53</v>
      </c>
      <c r="L16" s="7">
        <v>104.6</v>
      </c>
      <c r="M16" s="6" t="s">
        <v>28</v>
      </c>
      <c r="N16" s="7">
        <v>0.93</v>
      </c>
    </row>
    <row r="17" spans="1:14" x14ac:dyDescent="0.25">
      <c r="A17" s="6" t="s">
        <v>58</v>
      </c>
      <c r="B17" s="6" t="str">
        <f t="shared" si="0"/>
        <v>TA1541</v>
      </c>
      <c r="C17" s="6" t="s">
        <v>59</v>
      </c>
      <c r="D17" s="6" t="s">
        <v>12</v>
      </c>
      <c r="E17" s="6" t="s">
        <v>13</v>
      </c>
      <c r="F17" s="6" t="s">
        <v>13</v>
      </c>
      <c r="G17" s="6" t="s">
        <v>31</v>
      </c>
      <c r="H17" s="7">
        <v>23.53</v>
      </c>
      <c r="I17" s="6" t="s">
        <v>37</v>
      </c>
      <c r="J17" s="7">
        <v>8.35</v>
      </c>
      <c r="K17" s="6" t="s">
        <v>38</v>
      </c>
      <c r="L17" s="7">
        <v>42.7</v>
      </c>
      <c r="M17" s="6" t="s">
        <v>34</v>
      </c>
      <c r="N17" s="7">
        <v>1.89</v>
      </c>
    </row>
    <row r="18" spans="1:14" x14ac:dyDescent="0.25">
      <c r="A18" s="6" t="s">
        <v>60</v>
      </c>
      <c r="B18" s="6" t="str">
        <f t="shared" si="0"/>
        <v>TA1722</v>
      </c>
      <c r="C18" s="6" t="s">
        <v>61</v>
      </c>
      <c r="D18" s="6" t="s">
        <v>12</v>
      </c>
      <c r="E18" s="6" t="s">
        <v>13</v>
      </c>
      <c r="F18" s="6" t="s">
        <v>13</v>
      </c>
      <c r="G18" s="6" t="s">
        <v>51</v>
      </c>
      <c r="H18" s="7">
        <v>13.83</v>
      </c>
      <c r="I18" s="6" t="s">
        <v>52</v>
      </c>
      <c r="J18" s="7">
        <v>30.09</v>
      </c>
      <c r="K18" s="6" t="s">
        <v>53</v>
      </c>
      <c r="L18" s="7">
        <v>34.97</v>
      </c>
      <c r="M18" s="6" t="s">
        <v>28</v>
      </c>
      <c r="N18" s="7">
        <v>3.84</v>
      </c>
    </row>
    <row r="19" spans="1:14" x14ac:dyDescent="0.25">
      <c r="A19" s="6" t="s">
        <v>62</v>
      </c>
      <c r="B19" s="6" t="str">
        <f t="shared" si="0"/>
        <v>TA1562</v>
      </c>
      <c r="C19" s="6" t="s">
        <v>63</v>
      </c>
      <c r="D19" s="6" t="s">
        <v>12</v>
      </c>
      <c r="E19" s="6" t="s">
        <v>13</v>
      </c>
      <c r="F19" s="6" t="s">
        <v>13</v>
      </c>
      <c r="G19" s="6" t="s">
        <v>31</v>
      </c>
      <c r="H19" s="7">
        <v>9.06</v>
      </c>
      <c r="I19" s="6" t="s">
        <v>32</v>
      </c>
      <c r="J19" s="7">
        <v>7.41</v>
      </c>
      <c r="K19" s="6" t="s">
        <v>33</v>
      </c>
      <c r="L19" s="7">
        <v>20.22</v>
      </c>
      <c r="M19" s="6" t="s">
        <v>34</v>
      </c>
      <c r="N19" s="7">
        <v>0.9</v>
      </c>
    </row>
    <row r="20" spans="1:14" x14ac:dyDescent="0.25">
      <c r="A20" s="6" t="s">
        <v>64</v>
      </c>
      <c r="B20" s="6" t="str">
        <f t="shared" si="0"/>
        <v>TA1160</v>
      </c>
      <c r="C20" s="6" t="s">
        <v>65</v>
      </c>
      <c r="D20" s="6" t="s">
        <v>12</v>
      </c>
      <c r="E20" s="6" t="s">
        <v>13</v>
      </c>
      <c r="F20" s="6" t="s">
        <v>13</v>
      </c>
      <c r="G20" s="6" t="s">
        <v>66</v>
      </c>
      <c r="H20" s="7">
        <v>24.2</v>
      </c>
      <c r="I20" s="6"/>
      <c r="J20" s="6"/>
      <c r="K20" s="6"/>
      <c r="L20" s="6"/>
      <c r="M20" s="6"/>
      <c r="N20" s="6"/>
    </row>
    <row r="21" spans="1:14" x14ac:dyDescent="0.25">
      <c r="A21" s="6" t="s">
        <v>67</v>
      </c>
      <c r="B21" s="6" t="str">
        <f t="shared" si="0"/>
        <v>TA1882</v>
      </c>
      <c r="C21" s="6" t="s">
        <v>68</v>
      </c>
      <c r="D21" s="6" t="s">
        <v>12</v>
      </c>
      <c r="E21" s="6" t="s">
        <v>13</v>
      </c>
      <c r="F21" s="6" t="s">
        <v>13</v>
      </c>
      <c r="G21" s="6" t="s">
        <v>51</v>
      </c>
      <c r="H21" s="7">
        <v>11.48</v>
      </c>
      <c r="I21" s="6" t="s">
        <v>52</v>
      </c>
      <c r="J21" s="7">
        <v>22.91</v>
      </c>
      <c r="K21" s="6" t="s">
        <v>53</v>
      </c>
      <c r="L21" s="7">
        <v>26.63</v>
      </c>
      <c r="M21" s="6" t="s">
        <v>28</v>
      </c>
      <c r="N21" s="7">
        <v>2.93</v>
      </c>
    </row>
    <row r="22" spans="1:14" x14ac:dyDescent="0.25">
      <c r="A22" s="6" t="s">
        <v>69</v>
      </c>
      <c r="B22" s="6" t="str">
        <f t="shared" si="0"/>
        <v>TA1970</v>
      </c>
      <c r="C22" s="6" t="s">
        <v>70</v>
      </c>
      <c r="D22" s="6" t="s">
        <v>12</v>
      </c>
      <c r="E22" s="6" t="s">
        <v>13</v>
      </c>
      <c r="F22" s="6" t="s">
        <v>13</v>
      </c>
      <c r="G22" s="6" t="s">
        <v>43</v>
      </c>
      <c r="H22" s="7">
        <v>28.08</v>
      </c>
      <c r="I22" s="6" t="s">
        <v>44</v>
      </c>
      <c r="J22" s="7">
        <v>4.1900000000000004</v>
      </c>
      <c r="K22" s="6"/>
      <c r="L22" s="6"/>
      <c r="M22" s="6"/>
      <c r="N22" s="6"/>
    </row>
    <row r="23" spans="1:14" x14ac:dyDescent="0.25">
      <c r="A23" s="6" t="s">
        <v>71</v>
      </c>
      <c r="B23" s="6" t="str">
        <f t="shared" si="0"/>
        <v>TA1733</v>
      </c>
      <c r="C23" s="6" t="s">
        <v>72</v>
      </c>
      <c r="D23" s="6" t="s">
        <v>12</v>
      </c>
      <c r="E23" s="6" t="s">
        <v>13</v>
      </c>
      <c r="F23" s="6" t="s">
        <v>13</v>
      </c>
      <c r="G23" s="6" t="s">
        <v>25</v>
      </c>
      <c r="H23" s="7">
        <v>8.93</v>
      </c>
      <c r="I23" s="6" t="s">
        <v>26</v>
      </c>
      <c r="J23" s="7">
        <v>8.07</v>
      </c>
      <c r="K23" s="6" t="s">
        <v>27</v>
      </c>
      <c r="L23" s="7">
        <v>17.8</v>
      </c>
      <c r="M23" s="6" t="s">
        <v>28</v>
      </c>
      <c r="N23" s="7">
        <v>1.62</v>
      </c>
    </row>
    <row r="24" spans="1:14" x14ac:dyDescent="0.25">
      <c r="A24" s="6" t="s">
        <v>73</v>
      </c>
      <c r="B24" s="6" t="str">
        <f t="shared" si="0"/>
        <v>TA1922</v>
      </c>
      <c r="C24" s="6" t="s">
        <v>74</v>
      </c>
      <c r="D24" s="6" t="s">
        <v>12</v>
      </c>
      <c r="E24" s="6" t="s">
        <v>13</v>
      </c>
      <c r="F24" s="6" t="s">
        <v>13</v>
      </c>
      <c r="G24" s="6" t="s">
        <v>51</v>
      </c>
      <c r="H24" s="7">
        <v>10.28</v>
      </c>
      <c r="I24" s="6" t="s">
        <v>52</v>
      </c>
      <c r="J24" s="7">
        <v>19.23</v>
      </c>
      <c r="K24" s="6" t="s">
        <v>53</v>
      </c>
      <c r="L24" s="7">
        <v>22.36</v>
      </c>
      <c r="M24" s="6" t="s">
        <v>28</v>
      </c>
      <c r="N24" s="7">
        <v>2.46</v>
      </c>
    </row>
    <row r="25" spans="1:14" x14ac:dyDescent="0.25">
      <c r="A25" s="6" t="s">
        <v>75</v>
      </c>
      <c r="B25" s="6" t="str">
        <f t="shared" si="0"/>
        <v>TA1881</v>
      </c>
      <c r="C25" s="6" t="s">
        <v>76</v>
      </c>
      <c r="D25" s="6" t="s">
        <v>12</v>
      </c>
      <c r="E25" s="6" t="s">
        <v>13</v>
      </c>
      <c r="F25" s="6" t="s">
        <v>13</v>
      </c>
      <c r="G25" s="6" t="s">
        <v>51</v>
      </c>
      <c r="H25" s="7">
        <v>11.89</v>
      </c>
      <c r="I25" s="6" t="s">
        <v>52</v>
      </c>
      <c r="J25" s="7">
        <v>24.17</v>
      </c>
      <c r="K25" s="6" t="s">
        <v>53</v>
      </c>
      <c r="L25" s="7">
        <v>28.09</v>
      </c>
      <c r="M25" s="6" t="s">
        <v>28</v>
      </c>
      <c r="N25" s="7">
        <v>3.09</v>
      </c>
    </row>
    <row r="26" spans="1:14" x14ac:dyDescent="0.25">
      <c r="A26" s="6" t="s">
        <v>77</v>
      </c>
      <c r="B26" s="6" t="str">
        <f t="shared" si="0"/>
        <v>TA1942</v>
      </c>
      <c r="C26" s="6" t="s">
        <v>78</v>
      </c>
      <c r="D26" s="6" t="s">
        <v>12</v>
      </c>
      <c r="E26" s="6" t="s">
        <v>13</v>
      </c>
      <c r="F26" s="6" t="s">
        <v>13</v>
      </c>
      <c r="G26" s="6" t="s">
        <v>53</v>
      </c>
      <c r="H26" s="7">
        <v>17.77</v>
      </c>
      <c r="I26" s="6" t="s">
        <v>52</v>
      </c>
      <c r="J26" s="7">
        <v>15.29</v>
      </c>
      <c r="K26" s="6" t="s">
        <v>51</v>
      </c>
      <c r="L26" s="7">
        <v>8.99</v>
      </c>
      <c r="M26" s="6" t="s">
        <v>28</v>
      </c>
      <c r="N26" s="7">
        <v>1.95</v>
      </c>
    </row>
    <row r="27" spans="1:14" x14ac:dyDescent="0.25">
      <c r="A27" s="6" t="s">
        <v>79</v>
      </c>
      <c r="B27" s="6" t="str">
        <f t="shared" si="0"/>
        <v>TA1941</v>
      </c>
      <c r="C27" s="6" t="s">
        <v>80</v>
      </c>
      <c r="D27" s="6" t="s">
        <v>12</v>
      </c>
      <c r="E27" s="6" t="s">
        <v>13</v>
      </c>
      <c r="F27" s="6" t="s">
        <v>13</v>
      </c>
      <c r="G27" s="6" t="s">
        <v>53</v>
      </c>
      <c r="H27" s="7">
        <v>26.75</v>
      </c>
      <c r="I27" s="6" t="s">
        <v>52</v>
      </c>
      <c r="J27" s="7">
        <v>23.02</v>
      </c>
      <c r="K27" s="6" t="s">
        <v>51</v>
      </c>
      <c r="L27" s="7">
        <v>11.52</v>
      </c>
      <c r="M27" s="6" t="s">
        <v>28</v>
      </c>
      <c r="N27" s="7">
        <v>2.94</v>
      </c>
    </row>
    <row r="28" spans="1:14" x14ac:dyDescent="0.25">
      <c r="A28" s="6" t="s">
        <v>81</v>
      </c>
      <c r="B28" s="6" t="str">
        <f t="shared" si="0"/>
        <v>TA1950</v>
      </c>
      <c r="C28" s="6" t="s">
        <v>82</v>
      </c>
      <c r="D28" s="6" t="s">
        <v>12</v>
      </c>
      <c r="E28" s="6" t="s">
        <v>13</v>
      </c>
      <c r="F28" s="6" t="s">
        <v>13</v>
      </c>
      <c r="G28" s="6" t="s">
        <v>53</v>
      </c>
      <c r="H28" s="7">
        <v>39.619999999999997</v>
      </c>
      <c r="I28" s="6" t="s">
        <v>52</v>
      </c>
      <c r="J28" s="7">
        <v>34.090000000000003</v>
      </c>
      <c r="K28" s="6" t="s">
        <v>51</v>
      </c>
      <c r="L28" s="7">
        <v>15.13</v>
      </c>
      <c r="M28" s="6" t="s">
        <v>28</v>
      </c>
      <c r="N28" s="7">
        <v>4.3499999999999996</v>
      </c>
    </row>
    <row r="29" spans="1:14" x14ac:dyDescent="0.25">
      <c r="A29" s="6" t="s">
        <v>83</v>
      </c>
      <c r="B29" s="6" t="str">
        <f t="shared" si="0"/>
        <v>TA1820</v>
      </c>
      <c r="C29" s="6" t="s">
        <v>84</v>
      </c>
      <c r="D29" s="6" t="s">
        <v>12</v>
      </c>
      <c r="E29" s="6" t="s">
        <v>13</v>
      </c>
      <c r="F29" s="6" t="s">
        <v>13</v>
      </c>
      <c r="G29" s="6" t="s">
        <v>44</v>
      </c>
      <c r="H29" s="7">
        <v>18.440000000000001</v>
      </c>
      <c r="I29" s="6" t="s">
        <v>85</v>
      </c>
      <c r="J29" s="7">
        <v>95.97</v>
      </c>
      <c r="K29" s="6"/>
      <c r="L29" s="6"/>
      <c r="M29" s="6"/>
      <c r="N29" s="6"/>
    </row>
    <row r="30" spans="1:14" x14ac:dyDescent="0.25">
      <c r="A30" s="6" t="s">
        <v>86</v>
      </c>
      <c r="B30" s="6" t="str">
        <f t="shared" si="0"/>
        <v>TA1771</v>
      </c>
      <c r="C30" s="6" t="s">
        <v>87</v>
      </c>
      <c r="D30" s="6" t="s">
        <v>12</v>
      </c>
      <c r="E30" s="6" t="s">
        <v>13</v>
      </c>
      <c r="F30" s="6" t="s">
        <v>13</v>
      </c>
      <c r="G30" s="6" t="s">
        <v>88</v>
      </c>
      <c r="H30" s="7">
        <v>42.73</v>
      </c>
      <c r="I30" s="6"/>
      <c r="J30" s="6"/>
      <c r="K30" s="6"/>
      <c r="L30" s="6"/>
      <c r="M30" s="6" t="s">
        <v>89</v>
      </c>
      <c r="N30" s="7">
        <v>1.5</v>
      </c>
    </row>
    <row r="31" spans="1:14" x14ac:dyDescent="0.25">
      <c r="A31" s="6" t="s">
        <v>90</v>
      </c>
      <c r="B31" s="6" t="str">
        <f t="shared" si="0"/>
        <v>TA1731</v>
      </c>
      <c r="C31" s="6" t="s">
        <v>91</v>
      </c>
      <c r="D31" s="6" t="s">
        <v>12</v>
      </c>
      <c r="E31" s="6" t="s">
        <v>13</v>
      </c>
      <c r="F31" s="6" t="s">
        <v>13</v>
      </c>
      <c r="G31" s="6" t="s">
        <v>51</v>
      </c>
      <c r="H31" s="7">
        <v>8.0299999999999994</v>
      </c>
      <c r="I31" s="6" t="s">
        <v>52</v>
      </c>
      <c r="J31" s="7">
        <v>21.62</v>
      </c>
      <c r="K31" s="6" t="s">
        <v>53</v>
      </c>
      <c r="L31" s="7">
        <v>34.85</v>
      </c>
      <c r="M31" s="6" t="s">
        <v>28</v>
      </c>
      <c r="N31" s="7">
        <v>3.3</v>
      </c>
    </row>
    <row r="32" spans="1:14" x14ac:dyDescent="0.25">
      <c r="A32" s="6" t="s">
        <v>92</v>
      </c>
      <c r="B32" s="6" t="str">
        <f t="shared" si="0"/>
        <v>TA1572</v>
      </c>
      <c r="C32" s="6" t="s">
        <v>93</v>
      </c>
      <c r="D32" s="6" t="s">
        <v>12</v>
      </c>
      <c r="E32" s="6" t="s">
        <v>13</v>
      </c>
      <c r="F32" s="6" t="s">
        <v>13</v>
      </c>
      <c r="G32" s="6" t="s">
        <v>31</v>
      </c>
      <c r="H32" s="7">
        <v>11.2</v>
      </c>
      <c r="I32" s="6" t="s">
        <v>37</v>
      </c>
      <c r="J32" s="7">
        <v>3.98</v>
      </c>
      <c r="K32" s="6" t="s">
        <v>38</v>
      </c>
      <c r="L32" s="7">
        <v>20.329999999999998</v>
      </c>
      <c r="M32" s="6" t="s">
        <v>34</v>
      </c>
      <c r="N32" s="7">
        <v>0.9</v>
      </c>
    </row>
    <row r="33" spans="1:14" x14ac:dyDescent="0.25">
      <c r="A33" s="6" t="s">
        <v>94</v>
      </c>
      <c r="B33" s="6" t="str">
        <f t="shared" si="0"/>
        <v>TA1050</v>
      </c>
      <c r="C33" s="6" t="s">
        <v>95</v>
      </c>
      <c r="D33" s="6" t="s">
        <v>12</v>
      </c>
      <c r="E33" s="6" t="s">
        <v>13</v>
      </c>
      <c r="F33" s="6" t="s">
        <v>13</v>
      </c>
      <c r="G33" s="6" t="s">
        <v>96</v>
      </c>
      <c r="H33" s="7">
        <v>59</v>
      </c>
      <c r="I33" s="6"/>
      <c r="J33" s="6"/>
      <c r="K33" s="6"/>
      <c r="L33" s="6"/>
      <c r="M33" s="6" t="s">
        <v>97</v>
      </c>
      <c r="N33" s="7">
        <v>2</v>
      </c>
    </row>
    <row r="34" spans="1:14" x14ac:dyDescent="0.25">
      <c r="A34" s="6" t="s">
        <v>98</v>
      </c>
      <c r="B34" s="6" t="str">
        <f t="shared" si="0"/>
        <v>TA1040</v>
      </c>
      <c r="C34" s="6" t="s">
        <v>99</v>
      </c>
      <c r="D34" s="6" t="s">
        <v>12</v>
      </c>
      <c r="E34" s="6" t="s">
        <v>13</v>
      </c>
      <c r="F34" s="6" t="s">
        <v>13</v>
      </c>
      <c r="G34" s="6" t="s">
        <v>96</v>
      </c>
      <c r="H34" s="7">
        <v>73.599999999999994</v>
      </c>
      <c r="I34" s="6"/>
      <c r="J34" s="6"/>
      <c r="K34" s="6"/>
      <c r="L34" s="6"/>
      <c r="M34" s="6" t="s">
        <v>97</v>
      </c>
      <c r="N34" s="7">
        <v>2</v>
      </c>
    </row>
    <row r="35" spans="1:14" x14ac:dyDescent="0.25">
      <c r="A35" s="6" t="s">
        <v>100</v>
      </c>
      <c r="B35" s="6" t="str">
        <f t="shared" si="0"/>
        <v>TA1512</v>
      </c>
      <c r="C35" s="6" t="s">
        <v>57</v>
      </c>
      <c r="D35" s="6" t="s">
        <v>12</v>
      </c>
      <c r="E35" s="6" t="s">
        <v>13</v>
      </c>
      <c r="F35" s="6" t="s">
        <v>13</v>
      </c>
      <c r="G35" s="6" t="s">
        <v>51</v>
      </c>
      <c r="H35" s="7">
        <v>41.9</v>
      </c>
      <c r="I35" s="6" t="s">
        <v>52</v>
      </c>
      <c r="J35" s="7">
        <v>19.8</v>
      </c>
      <c r="K35" s="6" t="s">
        <v>53</v>
      </c>
      <c r="L35" s="7">
        <v>104.6</v>
      </c>
      <c r="M35" s="6" t="s">
        <v>28</v>
      </c>
      <c r="N35" s="7">
        <v>0.93</v>
      </c>
    </row>
    <row r="36" spans="1:14" x14ac:dyDescent="0.25">
      <c r="A36" s="6" t="s">
        <v>101</v>
      </c>
      <c r="B36" s="6" t="str">
        <f t="shared" si="0"/>
        <v>TA1554</v>
      </c>
      <c r="C36" s="6" t="s">
        <v>102</v>
      </c>
      <c r="D36" s="6" t="s">
        <v>12</v>
      </c>
      <c r="E36" s="6" t="s">
        <v>13</v>
      </c>
      <c r="F36" s="6" t="s">
        <v>13</v>
      </c>
      <c r="G36" s="6" t="s">
        <v>31</v>
      </c>
      <c r="H36" s="7">
        <v>13.03</v>
      </c>
      <c r="I36" s="6" t="s">
        <v>32</v>
      </c>
      <c r="J36" s="7">
        <v>10.65</v>
      </c>
      <c r="K36" s="6" t="s">
        <v>33</v>
      </c>
      <c r="L36" s="7">
        <v>29.07</v>
      </c>
      <c r="M36" s="6" t="s">
        <v>34</v>
      </c>
      <c r="N36" s="7">
        <v>1.29</v>
      </c>
    </row>
    <row r="37" spans="1:14" x14ac:dyDescent="0.25">
      <c r="A37" s="6" t="s">
        <v>103</v>
      </c>
      <c r="B37" s="6" t="str">
        <f t="shared" si="0"/>
        <v>TA1552</v>
      </c>
      <c r="C37" s="6" t="s">
        <v>104</v>
      </c>
      <c r="D37" s="6" t="s">
        <v>12</v>
      </c>
      <c r="E37" s="6" t="s">
        <v>13</v>
      </c>
      <c r="F37" s="6" t="s">
        <v>13</v>
      </c>
      <c r="G37" s="6" t="s">
        <v>31</v>
      </c>
      <c r="H37" s="7">
        <v>8.5500000000000007</v>
      </c>
      <c r="I37" s="6" t="s">
        <v>32</v>
      </c>
      <c r="J37" s="7">
        <v>6.99</v>
      </c>
      <c r="K37" s="6" t="s">
        <v>33</v>
      </c>
      <c r="L37" s="7">
        <v>19.07</v>
      </c>
      <c r="M37" s="6" t="s">
        <v>34</v>
      </c>
      <c r="N37" s="7">
        <v>0.85</v>
      </c>
    </row>
    <row r="38" spans="1:14" x14ac:dyDescent="0.25">
      <c r="A38" s="6" t="s">
        <v>105</v>
      </c>
      <c r="B38" s="6" t="str">
        <f t="shared" si="0"/>
        <v>TA1372</v>
      </c>
      <c r="C38" s="6" t="s">
        <v>106</v>
      </c>
      <c r="D38" s="6" t="s">
        <v>12</v>
      </c>
      <c r="E38" s="6" t="s">
        <v>13</v>
      </c>
      <c r="F38" s="6" t="s">
        <v>13</v>
      </c>
      <c r="G38" s="6" t="s">
        <v>25</v>
      </c>
      <c r="H38" s="7">
        <v>3.99</v>
      </c>
      <c r="I38" s="6" t="s">
        <v>26</v>
      </c>
      <c r="J38" s="7">
        <v>11.19</v>
      </c>
      <c r="K38" s="6" t="s">
        <v>27</v>
      </c>
      <c r="L38" s="7">
        <v>11.21</v>
      </c>
      <c r="M38" s="6" t="s">
        <v>28</v>
      </c>
      <c r="N38" s="7">
        <v>1.44</v>
      </c>
    </row>
    <row r="39" spans="1:14" x14ac:dyDescent="0.25">
      <c r="A39" s="6" t="s">
        <v>107</v>
      </c>
      <c r="B39" s="6" t="str">
        <f t="shared" si="0"/>
        <v>VL0020</v>
      </c>
      <c r="C39" s="6" t="s">
        <v>108</v>
      </c>
      <c r="D39" s="6" t="s">
        <v>12</v>
      </c>
      <c r="E39" s="6" t="s">
        <v>13</v>
      </c>
      <c r="F39" s="6" t="s">
        <v>13</v>
      </c>
      <c r="G39" s="6" t="s">
        <v>109</v>
      </c>
      <c r="H39" s="7">
        <v>44.625</v>
      </c>
      <c r="I39" s="6"/>
      <c r="J39" s="6"/>
      <c r="K39" s="6"/>
      <c r="L39" s="6"/>
      <c r="M39" s="6"/>
      <c r="N39" s="6"/>
    </row>
    <row r="40" spans="1:14" x14ac:dyDescent="0.25">
      <c r="A40" s="6" t="s">
        <v>110</v>
      </c>
      <c r="B40" s="6" t="str">
        <f t="shared" si="0"/>
        <v>TA1732</v>
      </c>
      <c r="C40" s="6" t="s">
        <v>111</v>
      </c>
      <c r="D40" s="6" t="s">
        <v>12</v>
      </c>
      <c r="E40" s="6" t="s">
        <v>13</v>
      </c>
      <c r="F40" s="6" t="s">
        <v>13</v>
      </c>
      <c r="G40" s="6" t="s">
        <v>25</v>
      </c>
      <c r="H40" s="7">
        <v>16.86</v>
      </c>
      <c r="I40" s="6" t="s">
        <v>26</v>
      </c>
      <c r="J40" s="7">
        <v>15.24</v>
      </c>
      <c r="K40" s="6" t="s">
        <v>27</v>
      </c>
      <c r="L40" s="7">
        <v>33.6</v>
      </c>
      <c r="M40" s="6" t="s">
        <v>28</v>
      </c>
      <c r="N40" s="7">
        <v>3.05</v>
      </c>
    </row>
    <row r="41" spans="1:14" x14ac:dyDescent="0.25">
      <c r="A41" s="6" t="s">
        <v>112</v>
      </c>
      <c r="B41" s="6" t="str">
        <f t="shared" si="0"/>
        <v>TA2010</v>
      </c>
      <c r="C41" s="6" t="s">
        <v>113</v>
      </c>
      <c r="D41" s="6" t="s">
        <v>12</v>
      </c>
      <c r="E41" s="6" t="s">
        <v>13</v>
      </c>
      <c r="F41" s="6" t="s">
        <v>13</v>
      </c>
      <c r="G41" s="6" t="s">
        <v>31</v>
      </c>
      <c r="H41" s="7">
        <v>6.59</v>
      </c>
      <c r="I41" s="6" t="s">
        <v>32</v>
      </c>
      <c r="J41" s="7">
        <v>5.39</v>
      </c>
      <c r="K41" s="6" t="s">
        <v>33</v>
      </c>
      <c r="L41" s="7">
        <v>14.71</v>
      </c>
      <c r="M41" s="6" t="s">
        <v>34</v>
      </c>
      <c r="N41" s="7">
        <v>0.65</v>
      </c>
    </row>
    <row r="42" spans="1:14" x14ac:dyDescent="0.25">
      <c r="A42" s="6" t="s">
        <v>114</v>
      </c>
      <c r="B42" s="6" t="str">
        <f t="shared" si="0"/>
        <v>TA1990</v>
      </c>
      <c r="C42" s="6" t="s">
        <v>115</v>
      </c>
      <c r="D42" s="6" t="s">
        <v>12</v>
      </c>
      <c r="E42" s="6" t="s">
        <v>13</v>
      </c>
      <c r="F42" s="6" t="s">
        <v>13</v>
      </c>
      <c r="G42" s="6" t="s">
        <v>31</v>
      </c>
      <c r="H42" s="7">
        <v>24.4</v>
      </c>
      <c r="I42" s="6" t="s">
        <v>32</v>
      </c>
      <c r="J42" s="7">
        <v>20.99</v>
      </c>
      <c r="K42" s="6" t="s">
        <v>33</v>
      </c>
      <c r="L42" s="7">
        <v>54.3</v>
      </c>
      <c r="M42" s="6" t="s">
        <v>34</v>
      </c>
      <c r="N42" s="7">
        <v>2.63</v>
      </c>
    </row>
    <row r="43" spans="1:14" x14ac:dyDescent="0.25">
      <c r="A43" s="6" t="s">
        <v>116</v>
      </c>
      <c r="B43" s="6" t="str">
        <f t="shared" si="0"/>
        <v>TA1980</v>
      </c>
      <c r="C43" s="6" t="s">
        <v>117</v>
      </c>
      <c r="D43" s="6" t="s">
        <v>12</v>
      </c>
      <c r="E43" s="6" t="s">
        <v>13</v>
      </c>
      <c r="F43" s="6" t="s">
        <v>13</v>
      </c>
      <c r="G43" s="6" t="s">
        <v>31</v>
      </c>
      <c r="H43" s="7">
        <v>33.07</v>
      </c>
      <c r="I43" s="6" t="s">
        <v>32</v>
      </c>
      <c r="J43" s="7">
        <v>28.45</v>
      </c>
      <c r="K43" s="6" t="s">
        <v>33</v>
      </c>
      <c r="L43" s="7">
        <v>73.59</v>
      </c>
      <c r="M43" s="6" t="s">
        <v>34</v>
      </c>
      <c r="N43" s="7">
        <v>3.56</v>
      </c>
    </row>
    <row r="44" spans="1:14" x14ac:dyDescent="0.25">
      <c r="A44" s="6" t="s">
        <v>118</v>
      </c>
      <c r="B44" s="6" t="str">
        <f t="shared" si="0"/>
        <v>VL0010</v>
      </c>
      <c r="C44" s="6" t="s">
        <v>119</v>
      </c>
      <c r="D44" s="6" t="s">
        <v>12</v>
      </c>
      <c r="E44" s="6" t="s">
        <v>13</v>
      </c>
      <c r="F44" s="6" t="s">
        <v>13</v>
      </c>
      <c r="G44" s="6" t="s">
        <v>109</v>
      </c>
      <c r="H44" s="7">
        <v>37.359000000000002</v>
      </c>
      <c r="I44" s="6"/>
      <c r="J44" s="6"/>
      <c r="K44" s="6"/>
      <c r="L44" s="6"/>
      <c r="M44" s="6"/>
      <c r="N44" s="6"/>
    </row>
    <row r="45" spans="1:14" x14ac:dyDescent="0.25">
      <c r="A45" s="6" t="s">
        <v>120</v>
      </c>
      <c r="B45" s="6" t="str">
        <f t="shared" si="0"/>
        <v>TA1900</v>
      </c>
      <c r="C45" s="6" t="s">
        <v>121</v>
      </c>
      <c r="D45" s="6" t="s">
        <v>12</v>
      </c>
      <c r="E45" s="6" t="s">
        <v>13</v>
      </c>
      <c r="F45" s="6" t="s">
        <v>13</v>
      </c>
      <c r="G45" s="6" t="s">
        <v>52</v>
      </c>
      <c r="H45" s="7">
        <v>32.200000000000003</v>
      </c>
      <c r="I45" s="6" t="s">
        <v>53</v>
      </c>
      <c r="J45" s="7">
        <v>80.900000000000006</v>
      </c>
      <c r="K45" s="6"/>
      <c r="L45" s="6"/>
      <c r="M45" s="6" t="s">
        <v>28</v>
      </c>
      <c r="N45" s="7">
        <v>0.93</v>
      </c>
    </row>
    <row r="46" spans="1:14" x14ac:dyDescent="0.25">
      <c r="A46" s="6" t="s">
        <v>122</v>
      </c>
      <c r="B46" s="6" t="str">
        <f t="shared" si="0"/>
        <v>TA1571</v>
      </c>
      <c r="C46" s="6" t="s">
        <v>123</v>
      </c>
      <c r="D46" s="6" t="s">
        <v>12</v>
      </c>
      <c r="E46" s="6" t="s">
        <v>13</v>
      </c>
      <c r="F46" s="6" t="s">
        <v>13</v>
      </c>
      <c r="G46" s="6" t="s">
        <v>31</v>
      </c>
      <c r="H46" s="7">
        <v>21.94</v>
      </c>
      <c r="I46" s="6" t="s">
        <v>37</v>
      </c>
      <c r="J46" s="7">
        <v>7.76</v>
      </c>
      <c r="K46" s="6" t="s">
        <v>38</v>
      </c>
      <c r="L46" s="7">
        <v>39.83</v>
      </c>
      <c r="M46" s="6" t="s">
        <v>34</v>
      </c>
      <c r="N46" s="7">
        <v>1.76</v>
      </c>
    </row>
    <row r="47" spans="1:14" x14ac:dyDescent="0.25">
      <c r="A47" s="6" t="s">
        <v>124</v>
      </c>
      <c r="B47" s="6" t="str">
        <f t="shared" si="0"/>
        <v>TA1890</v>
      </c>
      <c r="C47" s="6" t="s">
        <v>125</v>
      </c>
      <c r="D47" s="6" t="s">
        <v>12</v>
      </c>
      <c r="E47" s="6" t="s">
        <v>13</v>
      </c>
      <c r="F47" s="6" t="s">
        <v>13</v>
      </c>
      <c r="G47" s="6" t="s">
        <v>88</v>
      </c>
      <c r="H47" s="7">
        <v>158.72999999999999</v>
      </c>
      <c r="I47" s="6"/>
      <c r="J47" s="6"/>
      <c r="K47" s="6"/>
      <c r="L47" s="6"/>
      <c r="M47" s="6" t="s">
        <v>89</v>
      </c>
      <c r="N47" s="7">
        <v>5.08</v>
      </c>
    </row>
    <row r="48" spans="1:14" x14ac:dyDescent="0.25">
      <c r="A48" s="6" t="s">
        <v>126</v>
      </c>
      <c r="B48" s="6" t="str">
        <f t="shared" si="0"/>
        <v>TA1780</v>
      </c>
      <c r="C48" s="6" t="s">
        <v>127</v>
      </c>
      <c r="D48" s="6" t="s">
        <v>12</v>
      </c>
      <c r="E48" s="6" t="s">
        <v>13</v>
      </c>
      <c r="F48" s="6" t="s">
        <v>13</v>
      </c>
      <c r="G48" s="6" t="s">
        <v>88</v>
      </c>
      <c r="H48" s="7">
        <v>196.1</v>
      </c>
      <c r="I48" s="6"/>
      <c r="J48" s="6"/>
      <c r="K48" s="6"/>
      <c r="L48" s="6"/>
      <c r="M48" s="6" t="s">
        <v>97</v>
      </c>
      <c r="N48" s="7">
        <v>9.3000000000000007</v>
      </c>
    </row>
    <row r="49" spans="1:14" x14ac:dyDescent="0.25">
      <c r="A49" s="6" t="s">
        <v>128</v>
      </c>
      <c r="B49" s="6" t="str">
        <f t="shared" si="0"/>
        <v>TA1860</v>
      </c>
      <c r="C49" s="6" t="s">
        <v>129</v>
      </c>
      <c r="D49" s="6" t="s">
        <v>12</v>
      </c>
      <c r="E49" s="6" t="s">
        <v>13</v>
      </c>
      <c r="F49" s="6" t="s">
        <v>13</v>
      </c>
      <c r="G49" s="6" t="s">
        <v>130</v>
      </c>
      <c r="H49" s="7">
        <v>62.08</v>
      </c>
      <c r="I49" s="6"/>
      <c r="J49" s="6"/>
      <c r="K49" s="6"/>
      <c r="L49" s="6"/>
      <c r="M49" s="6"/>
      <c r="N49" s="6"/>
    </row>
    <row r="50" spans="1:14" x14ac:dyDescent="0.25">
      <c r="A50" s="6" t="s">
        <v>131</v>
      </c>
      <c r="B50" s="6" t="str">
        <f t="shared" si="0"/>
        <v>TA1542</v>
      </c>
      <c r="C50" s="6" t="s">
        <v>132</v>
      </c>
      <c r="D50" s="6" t="s">
        <v>12</v>
      </c>
      <c r="E50" s="6" t="s">
        <v>13</v>
      </c>
      <c r="F50" s="6" t="s">
        <v>13</v>
      </c>
      <c r="G50" s="6" t="s">
        <v>31</v>
      </c>
      <c r="H50" s="7">
        <v>11.12</v>
      </c>
      <c r="I50" s="6" t="s">
        <v>37</v>
      </c>
      <c r="J50" s="7">
        <v>3.98</v>
      </c>
      <c r="K50" s="6" t="s">
        <v>38</v>
      </c>
      <c r="L50" s="7">
        <v>20.329999999999998</v>
      </c>
      <c r="M50" s="6" t="s">
        <v>34</v>
      </c>
      <c r="N50" s="7">
        <v>0.9</v>
      </c>
    </row>
    <row r="51" spans="1:14" x14ac:dyDescent="0.25">
      <c r="A51" s="6" t="s">
        <v>133</v>
      </c>
      <c r="B51" s="6" t="str">
        <f t="shared" si="0"/>
        <v>TA1721</v>
      </c>
      <c r="C51" s="6" t="s">
        <v>134</v>
      </c>
      <c r="D51" s="6" t="s">
        <v>12</v>
      </c>
      <c r="E51" s="6" t="s">
        <v>13</v>
      </c>
      <c r="F51" s="6" t="s">
        <v>13</v>
      </c>
      <c r="G51" s="6" t="s">
        <v>25</v>
      </c>
      <c r="H51" s="7">
        <v>21.98</v>
      </c>
      <c r="I51" s="6" t="s">
        <v>26</v>
      </c>
      <c r="J51" s="7">
        <v>22.57</v>
      </c>
      <c r="K51" s="6" t="s">
        <v>27</v>
      </c>
      <c r="L51" s="7">
        <v>35.909999999999997</v>
      </c>
      <c r="M51" s="6" t="s">
        <v>28</v>
      </c>
      <c r="N51" s="7">
        <v>3.78</v>
      </c>
    </row>
    <row r="52" spans="1:14" x14ac:dyDescent="0.25">
      <c r="A52" s="6" t="s">
        <v>135</v>
      </c>
      <c r="B52" s="6" t="str">
        <f t="shared" si="0"/>
        <v>TA1742</v>
      </c>
      <c r="C52" s="6" t="s">
        <v>136</v>
      </c>
      <c r="D52" s="6" t="s">
        <v>12</v>
      </c>
      <c r="E52" s="6" t="s">
        <v>13</v>
      </c>
      <c r="F52" s="6" t="s">
        <v>13</v>
      </c>
      <c r="G52" s="6" t="s">
        <v>51</v>
      </c>
      <c r="H52" s="7">
        <v>13.2</v>
      </c>
      <c r="I52" s="6" t="s">
        <v>52</v>
      </c>
      <c r="J52" s="7">
        <v>28.17</v>
      </c>
      <c r="K52" s="6" t="s">
        <v>53</v>
      </c>
      <c r="L52" s="7">
        <v>32.74</v>
      </c>
      <c r="M52" s="6" t="s">
        <v>28</v>
      </c>
      <c r="N52" s="7">
        <v>3.6</v>
      </c>
    </row>
    <row r="53" spans="1:14" x14ac:dyDescent="0.25">
      <c r="A53" s="6" t="s">
        <v>137</v>
      </c>
      <c r="B53" s="6" t="str">
        <f t="shared" si="0"/>
        <v>TA1850</v>
      </c>
      <c r="C53" s="6" t="s">
        <v>138</v>
      </c>
      <c r="D53" s="6" t="s">
        <v>12</v>
      </c>
      <c r="E53" s="6" t="s">
        <v>13</v>
      </c>
      <c r="F53" s="6" t="s">
        <v>13</v>
      </c>
      <c r="G53" s="6" t="s">
        <v>43</v>
      </c>
      <c r="H53" s="7">
        <v>43.96</v>
      </c>
      <c r="I53" s="6" t="s">
        <v>44</v>
      </c>
      <c r="J53" s="7">
        <v>6.55</v>
      </c>
      <c r="K53" s="6"/>
      <c r="L53" s="6"/>
      <c r="M53" s="6"/>
      <c r="N53" s="6"/>
    </row>
    <row r="54" spans="1:14" x14ac:dyDescent="0.25">
      <c r="A54" s="6" t="s">
        <v>139</v>
      </c>
      <c r="B54" s="6" t="str">
        <f t="shared" si="0"/>
        <v>TA1561</v>
      </c>
      <c r="C54" s="6" t="s">
        <v>140</v>
      </c>
      <c r="D54" s="6" t="s">
        <v>12</v>
      </c>
      <c r="E54" s="6" t="s">
        <v>13</v>
      </c>
      <c r="F54" s="6" t="s">
        <v>13</v>
      </c>
      <c r="G54" s="6" t="s">
        <v>31</v>
      </c>
      <c r="H54" s="7">
        <v>21.09</v>
      </c>
      <c r="I54" s="6" t="s">
        <v>32</v>
      </c>
      <c r="J54" s="7">
        <v>18.149999999999999</v>
      </c>
      <c r="K54" s="6" t="s">
        <v>33</v>
      </c>
      <c r="L54" s="7">
        <v>46.94</v>
      </c>
      <c r="M54" s="6" t="s">
        <v>34</v>
      </c>
      <c r="N54" s="7">
        <v>2.27</v>
      </c>
    </row>
    <row r="55" spans="1:14" x14ac:dyDescent="0.25">
      <c r="A55" s="6" t="s">
        <v>141</v>
      </c>
      <c r="B55" s="6" t="str">
        <f t="shared" si="0"/>
        <v>TA1563</v>
      </c>
      <c r="C55" s="6" t="s">
        <v>30</v>
      </c>
      <c r="D55" s="6" t="s">
        <v>12</v>
      </c>
      <c r="E55" s="6" t="s">
        <v>13</v>
      </c>
      <c r="F55" s="6" t="s">
        <v>13</v>
      </c>
      <c r="G55" s="6" t="s">
        <v>31</v>
      </c>
      <c r="H55" s="7">
        <v>13.13</v>
      </c>
      <c r="I55" s="6" t="s">
        <v>32</v>
      </c>
      <c r="J55" s="7">
        <v>10.47</v>
      </c>
      <c r="K55" s="6" t="s">
        <v>33</v>
      </c>
      <c r="L55" s="7">
        <v>29.3</v>
      </c>
      <c r="M55" s="6" t="s">
        <v>34</v>
      </c>
      <c r="N55" s="7">
        <v>1.3</v>
      </c>
    </row>
    <row r="56" spans="1:14" x14ac:dyDescent="0.25">
      <c r="A56" s="6" t="s">
        <v>142</v>
      </c>
      <c r="B56" s="6" t="str">
        <f t="shared" si="0"/>
        <v>TA1564</v>
      </c>
      <c r="C56" s="6" t="s">
        <v>102</v>
      </c>
      <c r="D56" s="6" t="s">
        <v>12</v>
      </c>
      <c r="E56" s="6" t="s">
        <v>13</v>
      </c>
      <c r="F56" s="6" t="s">
        <v>13</v>
      </c>
      <c r="G56" s="6" t="s">
        <v>31</v>
      </c>
      <c r="H56" s="7">
        <v>13.03</v>
      </c>
      <c r="I56" s="6" t="s">
        <v>32</v>
      </c>
      <c r="J56" s="7">
        <v>10.65</v>
      </c>
      <c r="K56" s="6" t="s">
        <v>33</v>
      </c>
      <c r="L56" s="7">
        <v>29.07</v>
      </c>
      <c r="M56" s="6" t="s">
        <v>34</v>
      </c>
      <c r="N56" s="7">
        <v>1.29</v>
      </c>
    </row>
    <row r="57" spans="1:14" x14ac:dyDescent="0.25">
      <c r="A57" s="6" t="s">
        <v>143</v>
      </c>
      <c r="B57" s="6" t="str">
        <f t="shared" si="0"/>
        <v>TA1830</v>
      </c>
      <c r="C57" s="6" t="s">
        <v>144</v>
      </c>
      <c r="D57" s="6" t="s">
        <v>12</v>
      </c>
      <c r="E57" s="6" t="s">
        <v>13</v>
      </c>
      <c r="F57" s="6" t="s">
        <v>13</v>
      </c>
      <c r="G57" s="6" t="s">
        <v>96</v>
      </c>
      <c r="H57" s="7">
        <v>116.1</v>
      </c>
      <c r="I57" s="6"/>
      <c r="J57" s="6"/>
      <c r="K57" s="6"/>
      <c r="L57" s="6"/>
      <c r="M57" s="6" t="s">
        <v>89</v>
      </c>
      <c r="N57" s="7">
        <v>5.5</v>
      </c>
    </row>
    <row r="58" spans="1:14" x14ac:dyDescent="0.25">
      <c r="A58" s="6" t="s">
        <v>145</v>
      </c>
      <c r="B58" s="6" t="str">
        <f t="shared" si="0"/>
        <v>TA1371</v>
      </c>
      <c r="C58" s="6" t="s">
        <v>146</v>
      </c>
      <c r="D58" s="6" t="s">
        <v>12</v>
      </c>
      <c r="E58" s="6" t="s">
        <v>13</v>
      </c>
      <c r="F58" s="6" t="s">
        <v>13</v>
      </c>
      <c r="G58" s="6" t="s">
        <v>51</v>
      </c>
      <c r="H58" s="7">
        <v>13.85</v>
      </c>
      <c r="I58" s="6" t="s">
        <v>52</v>
      </c>
      <c r="J58" s="7">
        <v>30.14</v>
      </c>
      <c r="K58" s="6" t="s">
        <v>53</v>
      </c>
      <c r="L58" s="7">
        <v>35.04</v>
      </c>
      <c r="M58" s="6" t="s">
        <v>28</v>
      </c>
      <c r="N58" s="7">
        <v>3.85</v>
      </c>
    </row>
    <row r="59" spans="1:14" x14ac:dyDescent="0.25">
      <c r="A59" s="6" t="s">
        <v>147</v>
      </c>
      <c r="B59" s="6" t="str">
        <f t="shared" si="0"/>
        <v>TA1772</v>
      </c>
      <c r="C59" s="6" t="s">
        <v>148</v>
      </c>
      <c r="D59" s="6" t="s">
        <v>12</v>
      </c>
      <c r="E59" s="6" t="s">
        <v>13</v>
      </c>
      <c r="F59" s="6" t="s">
        <v>13</v>
      </c>
      <c r="G59" s="6" t="s">
        <v>88</v>
      </c>
      <c r="H59" s="7">
        <v>48.87</v>
      </c>
      <c r="I59" s="6"/>
      <c r="J59" s="6"/>
      <c r="K59" s="6"/>
      <c r="L59" s="6"/>
      <c r="M59" s="6" t="s">
        <v>89</v>
      </c>
      <c r="N59" s="7">
        <v>1.7</v>
      </c>
    </row>
    <row r="60" spans="1:14" x14ac:dyDescent="0.25">
      <c r="A60" s="6" t="s">
        <v>149</v>
      </c>
      <c r="B60" s="6" t="str">
        <f t="shared" si="0"/>
        <v>TA1773</v>
      </c>
      <c r="C60" s="6" t="s">
        <v>150</v>
      </c>
      <c r="D60" s="6" t="s">
        <v>12</v>
      </c>
      <c r="E60" s="6" t="s">
        <v>13</v>
      </c>
      <c r="F60" s="6" t="s">
        <v>13</v>
      </c>
      <c r="G60" s="6" t="s">
        <v>88</v>
      </c>
      <c r="H60" s="7">
        <v>50.28</v>
      </c>
      <c r="I60" s="6"/>
      <c r="J60" s="6"/>
      <c r="K60" s="6"/>
      <c r="L60" s="6"/>
      <c r="M60" s="6" t="s">
        <v>89</v>
      </c>
      <c r="N60" s="7">
        <v>1.61</v>
      </c>
    </row>
    <row r="61" spans="1:14" x14ac:dyDescent="0.25">
      <c r="A61" s="6" t="s">
        <v>151</v>
      </c>
      <c r="B61" s="6" t="str">
        <f t="shared" si="0"/>
        <v>TA1774</v>
      </c>
      <c r="C61" s="6" t="s">
        <v>152</v>
      </c>
      <c r="D61" s="6" t="s">
        <v>12</v>
      </c>
      <c r="E61" s="6" t="s">
        <v>13</v>
      </c>
      <c r="F61" s="6" t="s">
        <v>13</v>
      </c>
      <c r="G61" s="6" t="s">
        <v>88</v>
      </c>
      <c r="H61" s="7">
        <v>103.28</v>
      </c>
      <c r="I61" s="6"/>
      <c r="J61" s="6"/>
      <c r="K61" s="6"/>
      <c r="L61" s="6"/>
      <c r="M61" s="6" t="s">
        <v>89</v>
      </c>
      <c r="N61" s="7">
        <v>3.31</v>
      </c>
    </row>
    <row r="62" spans="1:14" x14ac:dyDescent="0.25">
      <c r="A62" s="6" t="s">
        <v>153</v>
      </c>
      <c r="B62" s="6" t="str">
        <f t="shared" si="0"/>
        <v>TA2003</v>
      </c>
      <c r="C62" s="6" t="s">
        <v>154</v>
      </c>
      <c r="D62" s="6" t="s">
        <v>12</v>
      </c>
      <c r="E62" s="6" t="s">
        <v>13</v>
      </c>
      <c r="F62" s="6" t="s">
        <v>13</v>
      </c>
      <c r="G62" s="6" t="s">
        <v>31</v>
      </c>
      <c r="H62" s="7">
        <v>8.86</v>
      </c>
      <c r="I62" s="6" t="s">
        <v>32</v>
      </c>
      <c r="J62" s="7">
        <v>7.24</v>
      </c>
      <c r="K62" s="6" t="s">
        <v>33</v>
      </c>
      <c r="L62" s="7">
        <v>19.739999999999998</v>
      </c>
      <c r="M62" s="6" t="s">
        <v>34</v>
      </c>
      <c r="N62" s="7">
        <v>0.88</v>
      </c>
    </row>
    <row r="63" spans="1:14" x14ac:dyDescent="0.25">
      <c r="A63" s="6" t="s">
        <v>155</v>
      </c>
      <c r="B63" s="6" t="str">
        <f t="shared" si="0"/>
        <v>VL0040</v>
      </c>
      <c r="C63" s="6" t="s">
        <v>156</v>
      </c>
      <c r="D63" s="6" t="s">
        <v>12</v>
      </c>
      <c r="E63" s="6" t="s">
        <v>13</v>
      </c>
      <c r="F63" s="6" t="s">
        <v>13</v>
      </c>
      <c r="G63" s="6" t="s">
        <v>109</v>
      </c>
      <c r="H63" s="7">
        <v>28.468</v>
      </c>
      <c r="I63" s="6"/>
      <c r="J63" s="6"/>
      <c r="K63" s="6"/>
      <c r="L63" s="6"/>
      <c r="M63" s="6"/>
      <c r="N63" s="6"/>
    </row>
    <row r="64" spans="1:14" x14ac:dyDescent="0.25">
      <c r="A64" s="6" t="s">
        <v>157</v>
      </c>
      <c r="B64" s="6" t="str">
        <f t="shared" si="0"/>
        <v>HN0490</v>
      </c>
      <c r="C64" s="6" t="s">
        <v>158</v>
      </c>
      <c r="D64" s="6" t="s">
        <v>12</v>
      </c>
      <c r="E64" s="6" t="s">
        <v>13</v>
      </c>
      <c r="F64" s="6" t="s">
        <v>13</v>
      </c>
      <c r="G64" s="6" t="s">
        <v>31</v>
      </c>
      <c r="H64" s="7">
        <v>17.66</v>
      </c>
      <c r="I64" s="6" t="s">
        <v>32</v>
      </c>
      <c r="J64" s="7">
        <v>14.44</v>
      </c>
      <c r="K64" s="6" t="s">
        <v>33</v>
      </c>
      <c r="L64" s="7">
        <v>39.409999999999997</v>
      </c>
      <c r="M64" s="6" t="s">
        <v>34</v>
      </c>
      <c r="N64" s="7">
        <v>1.75</v>
      </c>
    </row>
    <row r="65" spans="1:14" x14ac:dyDescent="0.25">
      <c r="A65" s="6" t="s">
        <v>159</v>
      </c>
      <c r="B65" s="6" t="str">
        <f t="shared" si="0"/>
        <v>TA2030</v>
      </c>
      <c r="C65" s="6" t="s">
        <v>160</v>
      </c>
      <c r="D65" s="6" t="s">
        <v>12</v>
      </c>
      <c r="E65" s="6" t="s">
        <v>13</v>
      </c>
      <c r="F65" s="6" t="s">
        <v>13</v>
      </c>
      <c r="G65" s="6" t="s">
        <v>31</v>
      </c>
      <c r="H65" s="7">
        <v>17.22</v>
      </c>
      <c r="I65" s="6" t="s">
        <v>32</v>
      </c>
      <c r="J65" s="7">
        <v>14.84</v>
      </c>
      <c r="K65" s="6" t="s">
        <v>33</v>
      </c>
      <c r="L65" s="7">
        <v>39.53</v>
      </c>
      <c r="M65" s="6" t="s">
        <v>34</v>
      </c>
      <c r="N65" s="7">
        <v>1.75</v>
      </c>
    </row>
    <row r="66" spans="1:14" x14ac:dyDescent="0.25">
      <c r="A66" s="6" t="s">
        <v>161</v>
      </c>
      <c r="B66" s="6" t="str">
        <f t="shared" ref="B66:B129" si="1">MID(A66,8,6)</f>
        <v>TA2001</v>
      </c>
      <c r="C66" s="6" t="s">
        <v>162</v>
      </c>
      <c r="D66" s="6" t="s">
        <v>12</v>
      </c>
      <c r="E66" s="6" t="s">
        <v>13</v>
      </c>
      <c r="F66" s="6" t="s">
        <v>13</v>
      </c>
      <c r="G66" s="6" t="s">
        <v>31</v>
      </c>
      <c r="H66" s="7">
        <v>6.9</v>
      </c>
      <c r="I66" s="6" t="s">
        <v>32</v>
      </c>
      <c r="J66" s="7">
        <v>5.64</v>
      </c>
      <c r="K66" s="6" t="s">
        <v>33</v>
      </c>
      <c r="L66" s="7">
        <v>15.4</v>
      </c>
      <c r="M66" s="6" t="s">
        <v>34</v>
      </c>
      <c r="N66" s="7">
        <v>0.68</v>
      </c>
    </row>
    <row r="67" spans="1:14" x14ac:dyDescent="0.25">
      <c r="A67" s="6" t="s">
        <v>163</v>
      </c>
      <c r="B67" s="6" t="str">
        <f t="shared" si="1"/>
        <v>TA2002</v>
      </c>
      <c r="C67" s="6" t="s">
        <v>164</v>
      </c>
      <c r="D67" s="6" t="s">
        <v>12</v>
      </c>
      <c r="E67" s="6" t="s">
        <v>13</v>
      </c>
      <c r="F67" s="6" t="s">
        <v>13</v>
      </c>
      <c r="G67" s="6" t="s">
        <v>31</v>
      </c>
      <c r="H67" s="7">
        <v>6.9</v>
      </c>
      <c r="I67" s="6" t="s">
        <v>32</v>
      </c>
      <c r="J67" s="7">
        <v>5.64</v>
      </c>
      <c r="K67" s="6" t="s">
        <v>33</v>
      </c>
      <c r="L67" s="7">
        <v>15.4</v>
      </c>
      <c r="M67" s="6" t="s">
        <v>34</v>
      </c>
      <c r="N67" s="7">
        <v>0.68</v>
      </c>
    </row>
    <row r="68" spans="1:14" x14ac:dyDescent="0.25">
      <c r="A68" s="6" t="s">
        <v>165</v>
      </c>
      <c r="B68" s="6" t="str">
        <f t="shared" si="1"/>
        <v>TA2040</v>
      </c>
      <c r="C68" s="6" t="s">
        <v>166</v>
      </c>
      <c r="D68" s="6" t="s">
        <v>12</v>
      </c>
      <c r="E68" s="6" t="s">
        <v>13</v>
      </c>
      <c r="F68" s="6" t="s">
        <v>13</v>
      </c>
      <c r="G68" s="6" t="s">
        <v>85</v>
      </c>
      <c r="H68" s="7">
        <v>61.7</v>
      </c>
      <c r="I68" s="6" t="s">
        <v>44</v>
      </c>
      <c r="J68" s="7">
        <v>11.73</v>
      </c>
      <c r="K68" s="6"/>
      <c r="L68" s="6"/>
      <c r="M68" s="6"/>
      <c r="N68" s="6"/>
    </row>
    <row r="69" spans="1:14" x14ac:dyDescent="0.25">
      <c r="A69" s="6" t="s">
        <v>167</v>
      </c>
      <c r="B69" s="6" t="str">
        <f t="shared" si="1"/>
        <v>TA0220</v>
      </c>
      <c r="C69" s="6" t="s">
        <v>168</v>
      </c>
      <c r="D69" s="6" t="s">
        <v>12</v>
      </c>
      <c r="E69" s="6" t="s">
        <v>13</v>
      </c>
      <c r="F69" s="6" t="s">
        <v>13</v>
      </c>
      <c r="G69" s="6" t="s">
        <v>169</v>
      </c>
      <c r="H69" s="7">
        <v>22.4</v>
      </c>
      <c r="I69" s="6" t="s">
        <v>170</v>
      </c>
      <c r="J69" s="7">
        <v>13.6</v>
      </c>
      <c r="K69" s="6" t="s">
        <v>171</v>
      </c>
      <c r="L69" s="7">
        <v>47.5</v>
      </c>
      <c r="M69" s="6" t="s">
        <v>34</v>
      </c>
      <c r="N69" s="7">
        <v>1.8</v>
      </c>
    </row>
    <row r="70" spans="1:14" x14ac:dyDescent="0.25">
      <c r="A70" s="6" t="s">
        <v>172</v>
      </c>
      <c r="B70" s="6" t="str">
        <f t="shared" si="1"/>
        <v>TA0240</v>
      </c>
      <c r="C70" s="6" t="s">
        <v>173</v>
      </c>
      <c r="D70" s="6" t="s">
        <v>12</v>
      </c>
      <c r="E70" s="6" t="s">
        <v>13</v>
      </c>
      <c r="F70" s="6" t="s">
        <v>13</v>
      </c>
      <c r="G70" s="6" t="s">
        <v>169</v>
      </c>
      <c r="H70" s="7">
        <v>26.6</v>
      </c>
      <c r="I70" s="6" t="s">
        <v>170</v>
      </c>
      <c r="J70" s="7">
        <v>16.5</v>
      </c>
      <c r="K70" s="6" t="s">
        <v>171</v>
      </c>
      <c r="L70" s="7">
        <v>54.3</v>
      </c>
      <c r="M70" s="6" t="s">
        <v>34</v>
      </c>
      <c r="N70" s="7">
        <v>2.1</v>
      </c>
    </row>
    <row r="71" spans="1:14" x14ac:dyDescent="0.25">
      <c r="A71" s="6" t="s">
        <v>174</v>
      </c>
      <c r="B71" s="6" t="str">
        <f t="shared" si="1"/>
        <v>TA0250</v>
      </c>
      <c r="C71" s="6" t="s">
        <v>175</v>
      </c>
      <c r="D71" s="6" t="s">
        <v>12</v>
      </c>
      <c r="E71" s="6" t="s">
        <v>13</v>
      </c>
      <c r="F71" s="6" t="s">
        <v>13</v>
      </c>
      <c r="G71" s="6" t="s">
        <v>169</v>
      </c>
      <c r="H71" s="7">
        <v>7.5</v>
      </c>
      <c r="I71" s="6" t="s">
        <v>170</v>
      </c>
      <c r="J71" s="7">
        <v>4.4000000000000004</v>
      </c>
      <c r="K71" s="6" t="s">
        <v>171</v>
      </c>
      <c r="L71" s="7">
        <v>16</v>
      </c>
      <c r="M71" s="6" t="s">
        <v>34</v>
      </c>
      <c r="N71" s="7">
        <v>0.6</v>
      </c>
    </row>
    <row r="72" spans="1:14" x14ac:dyDescent="0.25">
      <c r="A72" s="6" t="s">
        <v>176</v>
      </c>
      <c r="B72" s="6" t="str">
        <f t="shared" si="1"/>
        <v>TA0280</v>
      </c>
      <c r="C72" s="6" t="s">
        <v>177</v>
      </c>
      <c r="D72" s="6" t="s">
        <v>12</v>
      </c>
      <c r="E72" s="6" t="s">
        <v>13</v>
      </c>
      <c r="F72" s="6" t="s">
        <v>13</v>
      </c>
      <c r="G72" s="6" t="s">
        <v>178</v>
      </c>
      <c r="H72" s="7">
        <v>15.8</v>
      </c>
      <c r="I72" s="6" t="s">
        <v>179</v>
      </c>
      <c r="J72" s="7">
        <v>19.8</v>
      </c>
      <c r="K72" s="6"/>
      <c r="L72" s="6"/>
      <c r="M72" s="6" t="s">
        <v>34</v>
      </c>
      <c r="N72" s="7">
        <v>1.8</v>
      </c>
    </row>
    <row r="73" spans="1:14" x14ac:dyDescent="0.25">
      <c r="A73" s="6" t="s">
        <v>180</v>
      </c>
      <c r="B73" s="6" t="str">
        <f t="shared" si="1"/>
        <v>HN0260</v>
      </c>
      <c r="C73" s="6" t="s">
        <v>181</v>
      </c>
      <c r="D73" s="6" t="s">
        <v>12</v>
      </c>
      <c r="E73" s="6" t="s">
        <v>13</v>
      </c>
      <c r="F73" s="6" t="s">
        <v>13</v>
      </c>
      <c r="G73" s="6" t="s">
        <v>182</v>
      </c>
      <c r="H73" s="7">
        <v>13.16</v>
      </c>
      <c r="I73" s="6" t="s">
        <v>183</v>
      </c>
      <c r="J73" s="7">
        <v>2.17</v>
      </c>
      <c r="K73" s="6"/>
      <c r="L73" s="6"/>
      <c r="M73" s="6"/>
      <c r="N73" s="6"/>
    </row>
    <row r="74" spans="1:14" x14ac:dyDescent="0.25">
      <c r="A74" s="6" t="s">
        <v>184</v>
      </c>
      <c r="B74" s="6" t="str">
        <f t="shared" si="1"/>
        <v>TA0270</v>
      </c>
      <c r="C74" s="6" t="s">
        <v>185</v>
      </c>
      <c r="D74" s="6" t="s">
        <v>12</v>
      </c>
      <c r="E74" s="6" t="s">
        <v>13</v>
      </c>
      <c r="F74" s="6" t="s">
        <v>13</v>
      </c>
      <c r="G74" s="6" t="s">
        <v>178</v>
      </c>
      <c r="H74" s="7">
        <v>26.5</v>
      </c>
      <c r="I74" s="6" t="s">
        <v>179</v>
      </c>
      <c r="J74" s="7">
        <v>30.8</v>
      </c>
      <c r="K74" s="6"/>
      <c r="L74" s="6"/>
      <c r="M74" s="6" t="s">
        <v>34</v>
      </c>
      <c r="N74" s="7">
        <v>1.9</v>
      </c>
    </row>
    <row r="75" spans="1:14" x14ac:dyDescent="0.25">
      <c r="A75" s="6" t="s">
        <v>186</v>
      </c>
      <c r="B75" s="6" t="str">
        <f t="shared" si="1"/>
        <v>TA0260</v>
      </c>
      <c r="C75" s="6" t="s">
        <v>187</v>
      </c>
      <c r="D75" s="6" t="s">
        <v>12</v>
      </c>
      <c r="E75" s="6" t="s">
        <v>13</v>
      </c>
      <c r="F75" s="6" t="s">
        <v>13</v>
      </c>
      <c r="G75" s="6" t="s">
        <v>178</v>
      </c>
      <c r="H75" s="7">
        <v>27.85</v>
      </c>
      <c r="I75" s="6" t="s">
        <v>179</v>
      </c>
      <c r="J75" s="7">
        <v>36.950000000000003</v>
      </c>
      <c r="K75" s="6"/>
      <c r="L75" s="6"/>
      <c r="M75" s="6" t="s">
        <v>34</v>
      </c>
      <c r="N75" s="7">
        <v>1.85</v>
      </c>
    </row>
    <row r="76" spans="1:14" x14ac:dyDescent="0.25">
      <c r="A76" s="6" t="s">
        <v>188</v>
      </c>
      <c r="B76" s="6" t="str">
        <f t="shared" si="1"/>
        <v>TA136A</v>
      </c>
      <c r="C76" s="6" t="s">
        <v>189</v>
      </c>
      <c r="D76" s="6" t="s">
        <v>12</v>
      </c>
      <c r="E76" s="6" t="s">
        <v>13</v>
      </c>
      <c r="F76" s="6" t="s">
        <v>13</v>
      </c>
      <c r="G76" s="6" t="s">
        <v>31</v>
      </c>
      <c r="H76" s="7">
        <v>24.76</v>
      </c>
      <c r="I76" s="6" t="s">
        <v>32</v>
      </c>
      <c r="J76" s="7">
        <v>21.3</v>
      </c>
      <c r="K76" s="6" t="s">
        <v>33</v>
      </c>
      <c r="L76" s="7">
        <v>55.11</v>
      </c>
      <c r="M76" s="6" t="s">
        <v>34</v>
      </c>
      <c r="N76" s="7">
        <v>2.82</v>
      </c>
    </row>
    <row r="77" spans="1:14" x14ac:dyDescent="0.25">
      <c r="A77" s="6" t="s">
        <v>190</v>
      </c>
      <c r="B77" s="6" t="str">
        <f t="shared" si="1"/>
        <v>TA148A</v>
      </c>
      <c r="C77" s="6" t="s">
        <v>191</v>
      </c>
      <c r="D77" s="6" t="s">
        <v>12</v>
      </c>
      <c r="E77" s="6" t="s">
        <v>13</v>
      </c>
      <c r="F77" s="6" t="s">
        <v>13</v>
      </c>
      <c r="G77" s="6" t="s">
        <v>31</v>
      </c>
      <c r="H77" s="7">
        <v>19.79</v>
      </c>
      <c r="I77" s="6" t="s">
        <v>32</v>
      </c>
      <c r="J77" s="7">
        <v>17.02</v>
      </c>
      <c r="K77" s="6" t="s">
        <v>33</v>
      </c>
      <c r="L77" s="7">
        <v>44.04</v>
      </c>
      <c r="M77" s="6" t="s">
        <v>34</v>
      </c>
      <c r="N77" s="7">
        <v>2.13</v>
      </c>
    </row>
    <row r="78" spans="1:14" x14ac:dyDescent="0.25">
      <c r="A78" s="6" t="s">
        <v>192</v>
      </c>
      <c r="B78" s="6" t="str">
        <f t="shared" si="1"/>
        <v>TA0600</v>
      </c>
      <c r="C78" s="6" t="s">
        <v>193</v>
      </c>
      <c r="D78" s="6" t="s">
        <v>12</v>
      </c>
      <c r="E78" s="6" t="s">
        <v>13</v>
      </c>
      <c r="F78" s="6" t="s">
        <v>13</v>
      </c>
      <c r="G78" s="6" t="s">
        <v>43</v>
      </c>
      <c r="H78" s="7">
        <v>28.08</v>
      </c>
      <c r="I78" s="6" t="s">
        <v>44</v>
      </c>
      <c r="J78" s="7">
        <v>4.1900000000000004</v>
      </c>
      <c r="K78" s="6"/>
      <c r="L78" s="6"/>
      <c r="M78" s="6"/>
      <c r="N78" s="6"/>
    </row>
    <row r="79" spans="1:14" x14ac:dyDescent="0.25">
      <c r="A79" s="6" t="s">
        <v>194</v>
      </c>
      <c r="B79" s="6" t="str">
        <f t="shared" si="1"/>
        <v>TA2020</v>
      </c>
      <c r="C79" s="6" t="s">
        <v>195</v>
      </c>
      <c r="D79" s="6" t="s">
        <v>12</v>
      </c>
      <c r="E79" s="6" t="s">
        <v>13</v>
      </c>
      <c r="F79" s="6" t="s">
        <v>13</v>
      </c>
      <c r="G79" s="6" t="s">
        <v>31</v>
      </c>
      <c r="H79" s="7">
        <v>14.63</v>
      </c>
      <c r="I79" s="6" t="s">
        <v>32</v>
      </c>
      <c r="J79" s="7">
        <v>11.96</v>
      </c>
      <c r="K79" s="6" t="s">
        <v>33</v>
      </c>
      <c r="L79" s="7">
        <v>32.630000000000003</v>
      </c>
      <c r="M79" s="6" t="s">
        <v>34</v>
      </c>
      <c r="N79" s="7">
        <v>1.45</v>
      </c>
    </row>
    <row r="80" spans="1:14" x14ac:dyDescent="0.25">
      <c r="A80" s="6" t="s">
        <v>196</v>
      </c>
      <c r="B80" s="6" t="str">
        <f t="shared" si="1"/>
        <v>TA2005</v>
      </c>
      <c r="C80" s="6" t="s">
        <v>197</v>
      </c>
      <c r="D80" s="6" t="s">
        <v>12</v>
      </c>
      <c r="E80" s="6" t="s">
        <v>13</v>
      </c>
      <c r="F80" s="6" t="s">
        <v>13</v>
      </c>
      <c r="G80" s="6" t="s">
        <v>31</v>
      </c>
      <c r="H80" s="7">
        <v>18.440000000000001</v>
      </c>
      <c r="I80" s="6" t="s">
        <v>32</v>
      </c>
      <c r="J80" s="7">
        <v>15.66</v>
      </c>
      <c r="K80" s="6" t="s">
        <v>33</v>
      </c>
      <c r="L80" s="7">
        <v>41.03</v>
      </c>
      <c r="M80" s="6" t="s">
        <v>34</v>
      </c>
      <c r="N80" s="7">
        <v>1.99</v>
      </c>
    </row>
    <row r="81" spans="1:14" x14ac:dyDescent="0.25">
      <c r="A81" s="6" t="s">
        <v>198</v>
      </c>
      <c r="B81" s="6" t="str">
        <f t="shared" si="1"/>
        <v>NA1821</v>
      </c>
      <c r="C81" s="6" t="s">
        <v>199</v>
      </c>
      <c r="D81" s="6" t="s">
        <v>12</v>
      </c>
      <c r="E81" s="6" t="s">
        <v>13</v>
      </c>
      <c r="F81" s="6" t="s">
        <v>13</v>
      </c>
      <c r="G81" s="6" t="s">
        <v>200</v>
      </c>
      <c r="H81" s="7">
        <v>12.8</v>
      </c>
      <c r="I81" s="6" t="s">
        <v>183</v>
      </c>
      <c r="J81" s="7">
        <v>2.3199999999999998</v>
      </c>
      <c r="K81" s="6"/>
      <c r="L81" s="6"/>
      <c r="M81" s="6"/>
      <c r="N81" s="6"/>
    </row>
    <row r="82" spans="1:14" x14ac:dyDescent="0.25">
      <c r="A82" s="6" t="s">
        <v>201</v>
      </c>
      <c r="B82" s="6" t="str">
        <f t="shared" si="1"/>
        <v>NA1822</v>
      </c>
      <c r="C82" s="6" t="s">
        <v>202</v>
      </c>
      <c r="D82" s="6" t="s">
        <v>12</v>
      </c>
      <c r="E82" s="6" t="s">
        <v>13</v>
      </c>
      <c r="F82" s="6" t="s">
        <v>13</v>
      </c>
      <c r="G82" s="6" t="s">
        <v>200</v>
      </c>
      <c r="H82" s="7">
        <v>13.18</v>
      </c>
      <c r="I82" s="6" t="s">
        <v>183</v>
      </c>
      <c r="J82" s="7">
        <v>2.39</v>
      </c>
      <c r="K82" s="6"/>
      <c r="L82" s="6"/>
      <c r="M82" s="6"/>
      <c r="N82" s="6"/>
    </row>
    <row r="83" spans="1:14" x14ac:dyDescent="0.25">
      <c r="A83" s="6" t="s">
        <v>203</v>
      </c>
      <c r="B83" s="6" t="str">
        <f t="shared" si="1"/>
        <v>TA0370</v>
      </c>
      <c r="C83" s="6" t="s">
        <v>57</v>
      </c>
      <c r="D83" s="6" t="s">
        <v>12</v>
      </c>
      <c r="E83" s="6" t="s">
        <v>13</v>
      </c>
      <c r="F83" s="6" t="s">
        <v>13</v>
      </c>
      <c r="G83" s="6" t="s">
        <v>31</v>
      </c>
      <c r="H83" s="7">
        <v>34.89</v>
      </c>
      <c r="I83" s="6" t="s">
        <v>32</v>
      </c>
      <c r="J83" s="7">
        <v>8.58</v>
      </c>
      <c r="K83" s="6" t="s">
        <v>33</v>
      </c>
      <c r="L83" s="7">
        <v>17.82</v>
      </c>
      <c r="M83" s="6" t="s">
        <v>34</v>
      </c>
      <c r="N83" s="7">
        <v>1.54</v>
      </c>
    </row>
    <row r="84" spans="1:14" x14ac:dyDescent="0.25">
      <c r="A84" s="6" t="s">
        <v>204</v>
      </c>
      <c r="B84" s="6" t="str">
        <f t="shared" si="1"/>
        <v>TA0230</v>
      </c>
      <c r="C84" s="6" t="s">
        <v>205</v>
      </c>
      <c r="D84" s="6" t="s">
        <v>12</v>
      </c>
      <c r="E84" s="6" t="s">
        <v>13</v>
      </c>
      <c r="F84" s="6" t="s">
        <v>13</v>
      </c>
      <c r="G84" s="6" t="s">
        <v>169</v>
      </c>
      <c r="H84" s="7">
        <v>21.6</v>
      </c>
      <c r="I84" s="6" t="s">
        <v>170</v>
      </c>
      <c r="J84" s="7">
        <v>12.7</v>
      </c>
      <c r="K84" s="6" t="s">
        <v>171</v>
      </c>
      <c r="L84" s="7">
        <v>46</v>
      </c>
      <c r="M84" s="6" t="s">
        <v>34</v>
      </c>
      <c r="N84" s="7">
        <v>1.9</v>
      </c>
    </row>
    <row r="85" spans="1:14" x14ac:dyDescent="0.25">
      <c r="A85" s="6" t="s">
        <v>206</v>
      </c>
      <c r="B85" s="6" t="str">
        <f t="shared" si="1"/>
        <v>TA0210</v>
      </c>
      <c r="C85" s="6" t="s">
        <v>207</v>
      </c>
      <c r="D85" s="6" t="s">
        <v>12</v>
      </c>
      <c r="E85" s="6" t="s">
        <v>13</v>
      </c>
      <c r="F85" s="6" t="s">
        <v>13</v>
      </c>
      <c r="G85" s="6" t="s">
        <v>169</v>
      </c>
      <c r="H85" s="7">
        <v>13.3</v>
      </c>
      <c r="I85" s="6" t="s">
        <v>170</v>
      </c>
      <c r="J85" s="7">
        <v>7.8</v>
      </c>
      <c r="K85" s="6" t="s">
        <v>171</v>
      </c>
      <c r="L85" s="7">
        <v>28.2</v>
      </c>
      <c r="M85" s="6" t="s">
        <v>34</v>
      </c>
      <c r="N85" s="7">
        <v>1.1000000000000001</v>
      </c>
    </row>
    <row r="86" spans="1:14" x14ac:dyDescent="0.25">
      <c r="A86" s="6" t="s">
        <v>208</v>
      </c>
      <c r="B86" s="6" t="str">
        <f t="shared" si="1"/>
        <v>TA2004</v>
      </c>
      <c r="C86" s="6" t="s">
        <v>209</v>
      </c>
      <c r="D86" s="6" t="s">
        <v>12</v>
      </c>
      <c r="E86" s="6" t="s">
        <v>13</v>
      </c>
      <c r="F86" s="6" t="s">
        <v>13</v>
      </c>
      <c r="G86" s="6" t="s">
        <v>31</v>
      </c>
      <c r="H86" s="7">
        <v>10.61</v>
      </c>
      <c r="I86" s="6" t="s">
        <v>32</v>
      </c>
      <c r="J86" s="7">
        <v>8.67</v>
      </c>
      <c r="K86" s="6" t="s">
        <v>33</v>
      </c>
      <c r="L86" s="7">
        <v>23.67</v>
      </c>
      <c r="M86" s="6" t="s">
        <v>34</v>
      </c>
      <c r="N86" s="7">
        <v>1.05</v>
      </c>
    </row>
    <row r="87" spans="1:14" x14ac:dyDescent="0.25">
      <c r="A87" s="6" t="s">
        <v>210</v>
      </c>
      <c r="B87" s="6" t="str">
        <f t="shared" si="1"/>
        <v>TA2541</v>
      </c>
      <c r="C87" s="6" t="s">
        <v>211</v>
      </c>
      <c r="D87" s="6" t="s">
        <v>12</v>
      </c>
      <c r="E87" s="6" t="s">
        <v>13</v>
      </c>
      <c r="F87" s="6" t="s">
        <v>13</v>
      </c>
      <c r="G87" s="6" t="s">
        <v>51</v>
      </c>
      <c r="H87" s="7">
        <v>7.69</v>
      </c>
      <c r="I87" s="6" t="s">
        <v>52</v>
      </c>
      <c r="J87" s="7">
        <v>20.71</v>
      </c>
      <c r="K87" s="6" t="s">
        <v>53</v>
      </c>
      <c r="L87" s="7">
        <v>33.369999999999997</v>
      </c>
      <c r="M87" s="6" t="s">
        <v>28</v>
      </c>
      <c r="N87" s="7">
        <v>3.16</v>
      </c>
    </row>
    <row r="88" spans="1:14" x14ac:dyDescent="0.25">
      <c r="A88" s="6" t="s">
        <v>212</v>
      </c>
      <c r="B88" s="6" t="str">
        <f t="shared" si="1"/>
        <v>TA2542</v>
      </c>
      <c r="C88" s="6" t="s">
        <v>211</v>
      </c>
      <c r="D88" s="6" t="s">
        <v>12</v>
      </c>
      <c r="E88" s="6" t="s">
        <v>13</v>
      </c>
      <c r="F88" s="6" t="s">
        <v>13</v>
      </c>
      <c r="G88" s="6" t="s">
        <v>51</v>
      </c>
      <c r="H88" s="7">
        <v>5.97</v>
      </c>
      <c r="I88" s="6" t="s">
        <v>52</v>
      </c>
      <c r="J88" s="7">
        <v>16.079999999999998</v>
      </c>
      <c r="K88" s="6" t="s">
        <v>53</v>
      </c>
      <c r="L88" s="7">
        <v>25.91</v>
      </c>
      <c r="M88" s="6" t="s">
        <v>28</v>
      </c>
      <c r="N88" s="7">
        <v>2.46</v>
      </c>
    </row>
    <row r="89" spans="1:14" x14ac:dyDescent="0.25">
      <c r="A89" s="6" t="s">
        <v>213</v>
      </c>
      <c r="B89" s="6" t="str">
        <f t="shared" si="1"/>
        <v>TA2551</v>
      </c>
      <c r="C89" s="6" t="s">
        <v>214</v>
      </c>
      <c r="D89" s="6" t="s">
        <v>12</v>
      </c>
      <c r="E89" s="6" t="s">
        <v>13</v>
      </c>
      <c r="F89" s="6" t="s">
        <v>13</v>
      </c>
      <c r="G89" s="6" t="s">
        <v>51</v>
      </c>
      <c r="H89" s="7">
        <v>7.5</v>
      </c>
      <c r="I89" s="6" t="s">
        <v>52</v>
      </c>
      <c r="J89" s="7">
        <v>20.2</v>
      </c>
      <c r="K89" s="6" t="s">
        <v>53</v>
      </c>
      <c r="L89" s="7">
        <v>32.56</v>
      </c>
      <c r="M89" s="6" t="s">
        <v>28</v>
      </c>
      <c r="N89" s="7">
        <v>3.09</v>
      </c>
    </row>
    <row r="90" spans="1:14" x14ac:dyDescent="0.25">
      <c r="A90" s="6" t="s">
        <v>215</v>
      </c>
      <c r="B90" s="6" t="str">
        <f t="shared" si="1"/>
        <v>TA0400</v>
      </c>
      <c r="C90" s="6" t="s">
        <v>216</v>
      </c>
      <c r="D90" s="6" t="s">
        <v>12</v>
      </c>
      <c r="E90" s="6" t="s">
        <v>13</v>
      </c>
      <c r="F90" s="6" t="s">
        <v>13</v>
      </c>
      <c r="G90" s="6" t="s">
        <v>130</v>
      </c>
      <c r="H90" s="7">
        <v>54.32</v>
      </c>
      <c r="I90" s="6"/>
      <c r="J90" s="6"/>
      <c r="K90" s="6"/>
      <c r="L90" s="6"/>
      <c r="M90" s="6"/>
      <c r="N90" s="6"/>
    </row>
    <row r="91" spans="1:14" x14ac:dyDescent="0.25">
      <c r="A91" s="6" t="s">
        <v>217</v>
      </c>
      <c r="B91" s="6" t="str">
        <f t="shared" si="1"/>
        <v>TA0390</v>
      </c>
      <c r="C91" s="6" t="s">
        <v>218</v>
      </c>
      <c r="D91" s="6" t="s">
        <v>12</v>
      </c>
      <c r="E91" s="6" t="s">
        <v>13</v>
      </c>
      <c r="F91" s="6" t="s">
        <v>13</v>
      </c>
      <c r="G91" s="6" t="s">
        <v>219</v>
      </c>
      <c r="H91" s="7">
        <v>21.2</v>
      </c>
      <c r="I91" s="6" t="s">
        <v>44</v>
      </c>
      <c r="J91" s="7">
        <v>5.3</v>
      </c>
      <c r="K91" s="6"/>
      <c r="L91" s="6"/>
      <c r="M91" s="6"/>
      <c r="N91" s="6"/>
    </row>
    <row r="92" spans="1:14" x14ac:dyDescent="0.25">
      <c r="A92" s="6" t="s">
        <v>220</v>
      </c>
      <c r="B92" s="6" t="str">
        <f t="shared" si="1"/>
        <v>TA2570</v>
      </c>
      <c r="C92" s="6" t="s">
        <v>221</v>
      </c>
      <c r="D92" s="6" t="s">
        <v>12</v>
      </c>
      <c r="E92" s="6" t="s">
        <v>13</v>
      </c>
      <c r="F92" s="6" t="s">
        <v>13</v>
      </c>
      <c r="G92" s="6" t="s">
        <v>31</v>
      </c>
      <c r="H92" s="7">
        <v>21.29</v>
      </c>
      <c r="I92" s="6" t="s">
        <v>32</v>
      </c>
      <c r="J92" s="7">
        <v>18.32</v>
      </c>
      <c r="K92" s="6" t="s">
        <v>33</v>
      </c>
      <c r="L92" s="7">
        <v>47.39</v>
      </c>
      <c r="M92" s="6" t="s">
        <v>34</v>
      </c>
      <c r="N92" s="7">
        <v>2.2999999999999998</v>
      </c>
    </row>
    <row r="93" spans="1:14" x14ac:dyDescent="0.25">
      <c r="A93" s="6" t="s">
        <v>222</v>
      </c>
      <c r="B93" s="6" t="str">
        <f t="shared" si="1"/>
        <v>TA2560</v>
      </c>
      <c r="C93" s="6" t="s">
        <v>223</v>
      </c>
      <c r="D93" s="6" t="s">
        <v>12</v>
      </c>
      <c r="E93" s="6" t="s">
        <v>13</v>
      </c>
      <c r="F93" s="6" t="s">
        <v>13</v>
      </c>
      <c r="G93" s="6" t="s">
        <v>31</v>
      </c>
      <c r="H93" s="7">
        <v>21.09</v>
      </c>
      <c r="I93" s="6" t="s">
        <v>32</v>
      </c>
      <c r="J93" s="7">
        <v>18.149999999999999</v>
      </c>
      <c r="K93" s="6" t="s">
        <v>33</v>
      </c>
      <c r="L93" s="7">
        <v>46.94</v>
      </c>
      <c r="M93" s="6" t="s">
        <v>34</v>
      </c>
      <c r="N93" s="7">
        <v>2.27</v>
      </c>
    </row>
    <row r="94" spans="1:14" x14ac:dyDescent="0.25">
      <c r="A94" s="6" t="s">
        <v>224</v>
      </c>
      <c r="B94" s="6" t="str">
        <f t="shared" si="1"/>
        <v>TA121A</v>
      </c>
      <c r="C94" s="6" t="s">
        <v>225</v>
      </c>
      <c r="D94" s="6" t="s">
        <v>12</v>
      </c>
      <c r="E94" s="6" t="s">
        <v>13</v>
      </c>
      <c r="F94" s="6" t="s">
        <v>13</v>
      </c>
      <c r="G94" s="6" t="s">
        <v>31</v>
      </c>
      <c r="H94" s="7">
        <v>16.18</v>
      </c>
      <c r="I94" s="6" t="s">
        <v>32</v>
      </c>
      <c r="J94" s="7">
        <v>13.92</v>
      </c>
      <c r="K94" s="6" t="s">
        <v>33</v>
      </c>
      <c r="L94" s="7">
        <v>36.01</v>
      </c>
      <c r="M94" s="6" t="s">
        <v>34</v>
      </c>
      <c r="N94" s="7">
        <v>1.74</v>
      </c>
    </row>
    <row r="95" spans="1:14" x14ac:dyDescent="0.25">
      <c r="A95" s="6" t="s">
        <v>226</v>
      </c>
      <c r="B95" s="6" t="str">
        <f t="shared" si="1"/>
        <v>TA2552</v>
      </c>
      <c r="C95" s="6" t="s">
        <v>214</v>
      </c>
      <c r="D95" s="6" t="s">
        <v>12</v>
      </c>
      <c r="E95" s="6" t="s">
        <v>13</v>
      </c>
      <c r="F95" s="6" t="s">
        <v>13</v>
      </c>
      <c r="G95" s="6" t="s">
        <v>51</v>
      </c>
      <c r="H95" s="7">
        <v>7.11</v>
      </c>
      <c r="I95" s="6" t="s">
        <v>52</v>
      </c>
      <c r="J95" s="7">
        <v>19.149999999999999</v>
      </c>
      <c r="K95" s="6" t="s">
        <v>53</v>
      </c>
      <c r="L95" s="7">
        <v>30.86</v>
      </c>
      <c r="M95" s="6" t="s">
        <v>28</v>
      </c>
      <c r="N95" s="7">
        <v>2.93</v>
      </c>
    </row>
    <row r="96" spans="1:14" x14ac:dyDescent="0.25">
      <c r="A96" s="6" t="s">
        <v>227</v>
      </c>
      <c r="B96" s="6" t="str">
        <f t="shared" si="1"/>
        <v>PM1290</v>
      </c>
      <c r="C96" s="6" t="s">
        <v>228</v>
      </c>
      <c r="D96" s="6" t="s">
        <v>12</v>
      </c>
      <c r="E96" s="6" t="s">
        <v>13</v>
      </c>
      <c r="F96" s="6" t="s">
        <v>13</v>
      </c>
      <c r="G96" s="6" t="s">
        <v>229</v>
      </c>
      <c r="H96" s="7">
        <v>55.15</v>
      </c>
      <c r="I96" s="6" t="s">
        <v>230</v>
      </c>
      <c r="J96" s="7">
        <v>141.55000000000001</v>
      </c>
      <c r="K96" s="6"/>
      <c r="L96" s="6"/>
      <c r="M96" s="6" t="s">
        <v>231</v>
      </c>
      <c r="N96" s="7">
        <v>9.49</v>
      </c>
    </row>
    <row r="97" spans="1:14" x14ac:dyDescent="0.25">
      <c r="A97" s="6" t="s">
        <v>232</v>
      </c>
      <c r="B97" s="6" t="str">
        <f t="shared" si="1"/>
        <v>PM1300</v>
      </c>
      <c r="C97" s="6" t="s">
        <v>233</v>
      </c>
      <c r="D97" s="6" t="s">
        <v>12</v>
      </c>
      <c r="E97" s="6" t="s">
        <v>13</v>
      </c>
      <c r="F97" s="6" t="s">
        <v>13</v>
      </c>
      <c r="G97" s="6" t="s">
        <v>229</v>
      </c>
      <c r="H97" s="7">
        <v>47.88</v>
      </c>
      <c r="I97" s="6" t="s">
        <v>230</v>
      </c>
      <c r="J97" s="7">
        <v>83.44</v>
      </c>
      <c r="K97" s="6"/>
      <c r="L97" s="6"/>
      <c r="M97" s="6" t="s">
        <v>231</v>
      </c>
      <c r="N97" s="7">
        <v>7.06</v>
      </c>
    </row>
    <row r="98" spans="1:14" x14ac:dyDescent="0.25">
      <c r="A98" s="6" t="s">
        <v>234</v>
      </c>
      <c r="B98" s="6" t="str">
        <f t="shared" si="1"/>
        <v>PM1250</v>
      </c>
      <c r="C98" s="6" t="s">
        <v>235</v>
      </c>
      <c r="D98" s="6" t="s">
        <v>12</v>
      </c>
      <c r="E98" s="6" t="s">
        <v>13</v>
      </c>
      <c r="F98" s="6" t="s">
        <v>13</v>
      </c>
      <c r="G98" s="6" t="s">
        <v>229</v>
      </c>
      <c r="H98" s="7">
        <v>19.940000000000001</v>
      </c>
      <c r="I98" s="6" t="s">
        <v>230</v>
      </c>
      <c r="J98" s="7">
        <v>53.07</v>
      </c>
      <c r="K98" s="6"/>
      <c r="L98" s="6"/>
      <c r="M98" s="6" t="s">
        <v>28</v>
      </c>
      <c r="N98" s="7">
        <v>3.43</v>
      </c>
    </row>
    <row r="99" spans="1:14" x14ac:dyDescent="0.25">
      <c r="A99" s="6" t="s">
        <v>236</v>
      </c>
      <c r="B99" s="6" t="str">
        <f t="shared" si="1"/>
        <v>HN0300</v>
      </c>
      <c r="C99" s="6" t="s">
        <v>237</v>
      </c>
      <c r="D99" s="6" t="s">
        <v>12</v>
      </c>
      <c r="E99" s="6" t="s">
        <v>13</v>
      </c>
      <c r="F99" s="6" t="s">
        <v>13</v>
      </c>
      <c r="G99" s="6" t="s">
        <v>238</v>
      </c>
      <c r="H99" s="7">
        <v>353.74</v>
      </c>
      <c r="I99" s="6" t="s">
        <v>238</v>
      </c>
      <c r="J99" s="7">
        <v>363.86</v>
      </c>
      <c r="K99" s="6"/>
      <c r="L99" s="6"/>
      <c r="M99" s="6" t="s">
        <v>89</v>
      </c>
      <c r="N99" s="7">
        <v>17.55</v>
      </c>
    </row>
    <row r="100" spans="1:14" x14ac:dyDescent="0.25">
      <c r="A100" s="6" t="s">
        <v>239</v>
      </c>
      <c r="B100" s="6" t="str">
        <f t="shared" si="1"/>
        <v>MS0240</v>
      </c>
      <c r="C100" s="6" t="s">
        <v>240</v>
      </c>
      <c r="D100" s="6" t="s">
        <v>12</v>
      </c>
      <c r="E100" s="6" t="s">
        <v>13</v>
      </c>
      <c r="F100" s="6" t="s">
        <v>13</v>
      </c>
      <c r="G100" s="6" t="s">
        <v>229</v>
      </c>
      <c r="H100" s="7">
        <v>40</v>
      </c>
      <c r="I100" s="6"/>
      <c r="J100" s="6"/>
      <c r="K100" s="6"/>
      <c r="L100" s="6"/>
      <c r="M100" s="6"/>
      <c r="N100" s="6"/>
    </row>
    <row r="101" spans="1:14" x14ac:dyDescent="0.25">
      <c r="A101" s="6" t="s">
        <v>241</v>
      </c>
      <c r="B101" s="6" t="str">
        <f t="shared" si="1"/>
        <v>NA2820</v>
      </c>
      <c r="C101" s="6" t="s">
        <v>242</v>
      </c>
      <c r="D101" s="6" t="s">
        <v>12</v>
      </c>
      <c r="E101" s="6" t="s">
        <v>13</v>
      </c>
      <c r="F101" s="6" t="s">
        <v>13</v>
      </c>
      <c r="G101" s="6" t="s">
        <v>200</v>
      </c>
      <c r="H101" s="7">
        <v>66.7</v>
      </c>
      <c r="I101" s="6" t="s">
        <v>183</v>
      </c>
      <c r="J101" s="7">
        <v>9.5500000000000007</v>
      </c>
      <c r="K101" s="6"/>
      <c r="L101" s="6"/>
      <c r="M101" s="6"/>
      <c r="N101" s="6"/>
    </row>
    <row r="102" spans="1:14" x14ac:dyDescent="0.25">
      <c r="A102" s="6" t="s">
        <v>243</v>
      </c>
      <c r="B102" s="6" t="str">
        <f t="shared" si="1"/>
        <v>PM1120</v>
      </c>
      <c r="C102" s="6" t="s">
        <v>244</v>
      </c>
      <c r="D102" s="6" t="s">
        <v>12</v>
      </c>
      <c r="E102" s="6" t="s">
        <v>13</v>
      </c>
      <c r="F102" s="6" t="s">
        <v>13</v>
      </c>
      <c r="G102" s="6" t="s">
        <v>238</v>
      </c>
      <c r="H102" s="7">
        <v>123.85</v>
      </c>
      <c r="I102" s="6"/>
      <c r="J102" s="6"/>
      <c r="K102" s="6"/>
      <c r="L102" s="6"/>
      <c r="M102" s="6"/>
      <c r="N102" s="6"/>
    </row>
    <row r="103" spans="1:14" x14ac:dyDescent="0.25">
      <c r="A103" s="6" t="s">
        <v>245</v>
      </c>
      <c r="B103" s="6" t="str">
        <f t="shared" si="1"/>
        <v>NA2032</v>
      </c>
      <c r="C103" s="6" t="s">
        <v>246</v>
      </c>
      <c r="D103" s="6" t="s">
        <v>12</v>
      </c>
      <c r="E103" s="6" t="s">
        <v>13</v>
      </c>
      <c r="F103" s="6" t="s">
        <v>13</v>
      </c>
      <c r="G103" s="6" t="s">
        <v>43</v>
      </c>
      <c r="H103" s="7">
        <v>4.5</v>
      </c>
      <c r="I103" s="6" t="s">
        <v>247</v>
      </c>
      <c r="J103" s="7">
        <v>1.24</v>
      </c>
      <c r="K103" s="6" t="s">
        <v>248</v>
      </c>
      <c r="L103" s="7">
        <v>1.44</v>
      </c>
      <c r="M103" s="6" t="s">
        <v>34</v>
      </c>
      <c r="N103" s="7">
        <v>0.21</v>
      </c>
    </row>
    <row r="104" spans="1:14" x14ac:dyDescent="0.25">
      <c r="A104" s="6" t="s">
        <v>249</v>
      </c>
      <c r="B104" s="6" t="str">
        <f t="shared" si="1"/>
        <v>NA3150</v>
      </c>
      <c r="C104" s="6" t="s">
        <v>250</v>
      </c>
      <c r="D104" s="6" t="s">
        <v>12</v>
      </c>
      <c r="E104" s="6" t="s">
        <v>13</v>
      </c>
      <c r="F104" s="6" t="s">
        <v>13</v>
      </c>
      <c r="G104" s="6" t="s">
        <v>96</v>
      </c>
      <c r="H104" s="7">
        <v>83.87</v>
      </c>
      <c r="I104" s="6"/>
      <c r="J104" s="6"/>
      <c r="K104" s="6"/>
      <c r="L104" s="6"/>
      <c r="M104" s="6" t="s">
        <v>89</v>
      </c>
      <c r="N104" s="7">
        <v>3.3</v>
      </c>
    </row>
    <row r="105" spans="1:14" x14ac:dyDescent="0.25">
      <c r="A105" s="6" t="s">
        <v>251</v>
      </c>
      <c r="B105" s="6" t="str">
        <f t="shared" si="1"/>
        <v>TA3000</v>
      </c>
      <c r="C105" s="6" t="s">
        <v>252</v>
      </c>
      <c r="D105" s="6" t="s">
        <v>12</v>
      </c>
      <c r="E105" s="6" t="s">
        <v>13</v>
      </c>
      <c r="F105" s="6" t="s">
        <v>13</v>
      </c>
      <c r="G105" s="6" t="s">
        <v>96</v>
      </c>
      <c r="H105" s="7">
        <v>250</v>
      </c>
      <c r="I105" s="6"/>
      <c r="J105" s="6"/>
      <c r="K105" s="6"/>
      <c r="L105" s="6"/>
      <c r="M105" s="6" t="s">
        <v>97</v>
      </c>
      <c r="N105" s="7">
        <v>5</v>
      </c>
    </row>
    <row r="106" spans="1:14" x14ac:dyDescent="0.25">
      <c r="A106" s="6" t="s">
        <v>253</v>
      </c>
      <c r="B106" s="6" t="str">
        <f t="shared" si="1"/>
        <v>TA2634</v>
      </c>
      <c r="C106" s="6" t="s">
        <v>254</v>
      </c>
      <c r="D106" s="6" t="s">
        <v>12</v>
      </c>
      <c r="E106" s="6" t="s">
        <v>13</v>
      </c>
      <c r="F106" s="6" t="s">
        <v>13</v>
      </c>
      <c r="G106" s="6" t="s">
        <v>88</v>
      </c>
      <c r="H106" s="7">
        <v>210.51</v>
      </c>
      <c r="I106" s="6"/>
      <c r="J106" s="6"/>
      <c r="K106" s="6"/>
      <c r="L106" s="6"/>
      <c r="M106" s="6" t="s">
        <v>97</v>
      </c>
      <c r="N106" s="7">
        <v>6.58</v>
      </c>
    </row>
    <row r="107" spans="1:14" x14ac:dyDescent="0.25">
      <c r="A107" s="6" t="s">
        <v>255</v>
      </c>
      <c r="B107" s="6" t="str">
        <f t="shared" si="1"/>
        <v>PM1360</v>
      </c>
      <c r="C107" s="6" t="s">
        <v>256</v>
      </c>
      <c r="D107" s="6" t="s">
        <v>12</v>
      </c>
      <c r="E107" s="6" t="s">
        <v>13</v>
      </c>
      <c r="F107" s="6" t="s">
        <v>13</v>
      </c>
      <c r="G107" s="6" t="s">
        <v>96</v>
      </c>
      <c r="H107" s="7">
        <v>38</v>
      </c>
      <c r="I107" s="6"/>
      <c r="J107" s="6"/>
      <c r="K107" s="6"/>
      <c r="L107" s="6"/>
      <c r="M107" s="6"/>
      <c r="N107" s="6"/>
    </row>
    <row r="108" spans="1:14" x14ac:dyDescent="0.25">
      <c r="A108" s="6" t="s">
        <v>257</v>
      </c>
      <c r="B108" s="6" t="str">
        <f t="shared" si="1"/>
        <v>PM1150</v>
      </c>
      <c r="C108" s="6" t="s">
        <v>258</v>
      </c>
      <c r="D108" s="6" t="s">
        <v>12</v>
      </c>
      <c r="E108" s="6" t="s">
        <v>13</v>
      </c>
      <c r="F108" s="6" t="s">
        <v>13</v>
      </c>
      <c r="G108" s="6" t="s">
        <v>229</v>
      </c>
      <c r="H108" s="7">
        <v>4.3</v>
      </c>
      <c r="I108" s="6" t="s">
        <v>230</v>
      </c>
      <c r="J108" s="7">
        <v>28.44</v>
      </c>
      <c r="K108" s="6"/>
      <c r="L108" s="6"/>
      <c r="M108" s="6" t="s">
        <v>231</v>
      </c>
      <c r="N108" s="7">
        <v>1.68</v>
      </c>
    </row>
    <row r="109" spans="1:14" x14ac:dyDescent="0.25">
      <c r="A109" s="6" t="s">
        <v>259</v>
      </c>
      <c r="B109" s="6" t="str">
        <f t="shared" si="1"/>
        <v>NA3110</v>
      </c>
      <c r="C109" s="6" t="s">
        <v>260</v>
      </c>
      <c r="D109" s="6" t="s">
        <v>12</v>
      </c>
      <c r="E109" s="6" t="s">
        <v>13</v>
      </c>
      <c r="F109" s="6" t="s">
        <v>13</v>
      </c>
      <c r="G109" s="6" t="s">
        <v>96</v>
      </c>
      <c r="H109" s="7">
        <v>275.08</v>
      </c>
      <c r="I109" s="6"/>
      <c r="J109" s="6"/>
      <c r="K109" s="6"/>
      <c r="L109" s="6"/>
      <c r="M109" s="6" t="s">
        <v>97</v>
      </c>
      <c r="N109" s="7">
        <v>11.3</v>
      </c>
    </row>
    <row r="110" spans="1:14" x14ac:dyDescent="0.25">
      <c r="A110" s="6" t="s">
        <v>261</v>
      </c>
      <c r="B110" s="6" t="str">
        <f t="shared" si="1"/>
        <v>NA2033</v>
      </c>
      <c r="C110" s="6" t="s">
        <v>262</v>
      </c>
      <c r="D110" s="6" t="s">
        <v>12</v>
      </c>
      <c r="E110" s="6" t="s">
        <v>13</v>
      </c>
      <c r="F110" s="6" t="s">
        <v>13</v>
      </c>
      <c r="G110" s="6" t="s">
        <v>43</v>
      </c>
      <c r="H110" s="7">
        <v>3.67</v>
      </c>
      <c r="I110" s="6" t="s">
        <v>44</v>
      </c>
      <c r="J110" s="7">
        <v>1.62</v>
      </c>
      <c r="K110" s="6"/>
      <c r="L110" s="6"/>
      <c r="M110" s="6"/>
      <c r="N110" s="6"/>
    </row>
    <row r="111" spans="1:14" x14ac:dyDescent="0.25">
      <c r="A111" s="6" t="s">
        <v>263</v>
      </c>
      <c r="B111" s="6" t="str">
        <f t="shared" si="1"/>
        <v>TA109A</v>
      </c>
      <c r="C111" s="6" t="s">
        <v>264</v>
      </c>
      <c r="D111" s="6" t="s">
        <v>12</v>
      </c>
      <c r="E111" s="6" t="s">
        <v>13</v>
      </c>
      <c r="F111" s="6" t="s">
        <v>13</v>
      </c>
      <c r="G111" s="6" t="s">
        <v>25</v>
      </c>
      <c r="H111" s="7">
        <v>21.98</v>
      </c>
      <c r="I111" s="6" t="s">
        <v>26</v>
      </c>
      <c r="J111" s="7">
        <v>22.57</v>
      </c>
      <c r="K111" s="6" t="s">
        <v>27</v>
      </c>
      <c r="L111" s="7">
        <v>35.909999999999997</v>
      </c>
      <c r="M111" s="6" t="s">
        <v>28</v>
      </c>
      <c r="N111" s="7">
        <v>3.78</v>
      </c>
    </row>
    <row r="112" spans="1:14" x14ac:dyDescent="0.25">
      <c r="A112" s="6" t="s">
        <v>265</v>
      </c>
      <c r="B112" s="6" t="str">
        <f t="shared" si="1"/>
        <v>TA3020</v>
      </c>
      <c r="C112" s="6" t="s">
        <v>266</v>
      </c>
      <c r="D112" s="6" t="s">
        <v>12</v>
      </c>
      <c r="E112" s="6" t="s">
        <v>13</v>
      </c>
      <c r="F112" s="6" t="s">
        <v>13</v>
      </c>
      <c r="G112" s="6" t="s">
        <v>219</v>
      </c>
      <c r="H112" s="7">
        <v>0.48</v>
      </c>
      <c r="I112" s="6" t="s">
        <v>44</v>
      </c>
      <c r="J112" s="7">
        <v>0.12</v>
      </c>
      <c r="K112" s="6"/>
      <c r="L112" s="6"/>
      <c r="M112" s="6"/>
      <c r="N112" s="6"/>
    </row>
    <row r="113" spans="1:14" x14ac:dyDescent="0.25">
      <c r="A113" s="6" t="s">
        <v>267</v>
      </c>
      <c r="B113" s="6" t="str">
        <f t="shared" si="1"/>
        <v>TA2990</v>
      </c>
      <c r="C113" s="6" t="s">
        <v>268</v>
      </c>
      <c r="D113" s="6" t="s">
        <v>12</v>
      </c>
      <c r="E113" s="6" t="s">
        <v>13</v>
      </c>
      <c r="F113" s="6" t="s">
        <v>13</v>
      </c>
      <c r="G113" s="6" t="s">
        <v>85</v>
      </c>
      <c r="H113" s="7">
        <v>93.36</v>
      </c>
      <c r="I113" s="6" t="s">
        <v>44</v>
      </c>
      <c r="J113" s="7">
        <v>20.25</v>
      </c>
      <c r="K113" s="6"/>
      <c r="L113" s="6"/>
      <c r="M113" s="6"/>
      <c r="N113" s="6"/>
    </row>
    <row r="114" spans="1:14" x14ac:dyDescent="0.25">
      <c r="A114" s="6" t="s">
        <v>269</v>
      </c>
      <c r="B114" s="6" t="str">
        <f t="shared" si="1"/>
        <v>PM1140</v>
      </c>
      <c r="C114" s="6" t="s">
        <v>270</v>
      </c>
      <c r="D114" s="6" t="s">
        <v>12</v>
      </c>
      <c r="E114" s="6" t="s">
        <v>13</v>
      </c>
      <c r="F114" s="6" t="s">
        <v>13</v>
      </c>
      <c r="G114" s="6" t="s">
        <v>229</v>
      </c>
      <c r="H114" s="7">
        <v>29.06</v>
      </c>
      <c r="I114" s="6" t="s">
        <v>230</v>
      </c>
      <c r="J114" s="7">
        <v>96.86</v>
      </c>
      <c r="K114" s="6"/>
      <c r="L114" s="6"/>
      <c r="M114" s="6" t="s">
        <v>28</v>
      </c>
      <c r="N114" s="7">
        <v>4.0599999999999996</v>
      </c>
    </row>
    <row r="115" spans="1:14" x14ac:dyDescent="0.25">
      <c r="A115" s="6" t="s">
        <v>271</v>
      </c>
      <c r="B115" s="6" t="str">
        <f t="shared" si="1"/>
        <v>PM1130</v>
      </c>
      <c r="C115" s="6" t="s">
        <v>272</v>
      </c>
      <c r="D115" s="6" t="s">
        <v>12</v>
      </c>
      <c r="E115" s="6" t="s">
        <v>13</v>
      </c>
      <c r="F115" s="6" t="s">
        <v>13</v>
      </c>
      <c r="G115" s="6" t="s">
        <v>31</v>
      </c>
      <c r="H115" s="7">
        <v>24.44</v>
      </c>
      <c r="I115" s="6" t="s">
        <v>32</v>
      </c>
      <c r="J115" s="7">
        <v>28.04</v>
      </c>
      <c r="K115" s="6" t="s">
        <v>33</v>
      </c>
      <c r="L115" s="7">
        <v>23.58</v>
      </c>
      <c r="M115" s="6" t="s">
        <v>34</v>
      </c>
      <c r="N115" s="7">
        <v>2.09</v>
      </c>
    </row>
    <row r="116" spans="1:14" x14ac:dyDescent="0.25">
      <c r="A116" s="6" t="s">
        <v>273</v>
      </c>
      <c r="B116" s="6" t="str">
        <f t="shared" si="1"/>
        <v>TA2590</v>
      </c>
      <c r="C116" s="6" t="s">
        <v>274</v>
      </c>
      <c r="D116" s="6" t="s">
        <v>12</v>
      </c>
      <c r="E116" s="6" t="s">
        <v>13</v>
      </c>
      <c r="F116" s="6" t="s">
        <v>13</v>
      </c>
      <c r="G116" s="6" t="s">
        <v>275</v>
      </c>
      <c r="H116" s="7">
        <v>120</v>
      </c>
      <c r="I116" s="6"/>
      <c r="J116" s="6"/>
      <c r="K116" s="6"/>
      <c r="L116" s="6"/>
      <c r="M116" s="6"/>
      <c r="N116" s="6"/>
    </row>
    <row r="117" spans="1:14" x14ac:dyDescent="0.25">
      <c r="A117" s="6" t="s">
        <v>276</v>
      </c>
      <c r="B117" s="6" t="str">
        <f t="shared" si="1"/>
        <v>TA2610</v>
      </c>
      <c r="C117" s="6" t="s">
        <v>277</v>
      </c>
      <c r="D117" s="6" t="s">
        <v>12</v>
      </c>
      <c r="E117" s="6" t="s">
        <v>13</v>
      </c>
      <c r="F117" s="6" t="s">
        <v>13</v>
      </c>
      <c r="G117" s="6" t="s">
        <v>275</v>
      </c>
      <c r="H117" s="7">
        <v>120</v>
      </c>
      <c r="I117" s="6"/>
      <c r="J117" s="6"/>
      <c r="K117" s="6"/>
      <c r="L117" s="6"/>
      <c r="M117" s="6"/>
      <c r="N117" s="6"/>
    </row>
    <row r="118" spans="1:14" x14ac:dyDescent="0.25">
      <c r="A118" s="6" t="s">
        <v>278</v>
      </c>
      <c r="B118" s="6" t="str">
        <f t="shared" si="1"/>
        <v>TA2600</v>
      </c>
      <c r="C118" s="6" t="s">
        <v>279</v>
      </c>
      <c r="D118" s="6" t="s">
        <v>12</v>
      </c>
      <c r="E118" s="6" t="s">
        <v>13</v>
      </c>
      <c r="F118" s="6" t="s">
        <v>13</v>
      </c>
      <c r="G118" s="6" t="s">
        <v>275</v>
      </c>
      <c r="H118" s="7">
        <v>120</v>
      </c>
      <c r="I118" s="6"/>
      <c r="J118" s="6"/>
      <c r="K118" s="6"/>
      <c r="L118" s="6"/>
      <c r="M118" s="6"/>
      <c r="N118" s="6"/>
    </row>
    <row r="119" spans="1:14" x14ac:dyDescent="0.25">
      <c r="A119" s="6" t="s">
        <v>280</v>
      </c>
      <c r="B119" s="6" t="str">
        <f t="shared" si="1"/>
        <v>TA2620</v>
      </c>
      <c r="C119" s="6" t="s">
        <v>281</v>
      </c>
      <c r="D119" s="6" t="s">
        <v>12</v>
      </c>
      <c r="E119" s="6" t="s">
        <v>13</v>
      </c>
      <c r="F119" s="6" t="s">
        <v>13</v>
      </c>
      <c r="G119" s="6" t="s">
        <v>275</v>
      </c>
      <c r="H119" s="7">
        <v>120</v>
      </c>
      <c r="I119" s="6"/>
      <c r="J119" s="6"/>
      <c r="K119" s="6"/>
      <c r="L119" s="6"/>
      <c r="M119" s="6"/>
      <c r="N119" s="6"/>
    </row>
    <row r="120" spans="1:14" x14ac:dyDescent="0.25">
      <c r="A120" s="6" t="s">
        <v>282</v>
      </c>
      <c r="B120" s="6" t="str">
        <f t="shared" si="1"/>
        <v>PM1420</v>
      </c>
      <c r="C120" s="6" t="s">
        <v>283</v>
      </c>
      <c r="D120" s="6" t="s">
        <v>12</v>
      </c>
      <c r="E120" s="6" t="s">
        <v>13</v>
      </c>
      <c r="F120" s="6" t="s">
        <v>13</v>
      </c>
      <c r="G120" s="6" t="s">
        <v>229</v>
      </c>
      <c r="H120" s="7">
        <v>21.6</v>
      </c>
      <c r="I120" s="6" t="s">
        <v>230</v>
      </c>
      <c r="J120" s="7">
        <v>73</v>
      </c>
      <c r="K120" s="6"/>
      <c r="L120" s="6"/>
      <c r="M120" s="6" t="s">
        <v>28</v>
      </c>
      <c r="N120" s="7">
        <v>1.4</v>
      </c>
    </row>
    <row r="121" spans="1:14" x14ac:dyDescent="0.25">
      <c r="A121" s="6" t="s">
        <v>284</v>
      </c>
      <c r="B121" s="6" t="str">
        <f t="shared" si="1"/>
        <v>HN0530</v>
      </c>
      <c r="C121" s="6" t="s">
        <v>285</v>
      </c>
      <c r="D121" s="6" t="s">
        <v>12</v>
      </c>
      <c r="E121" s="6" t="s">
        <v>13</v>
      </c>
      <c r="F121" s="6" t="s">
        <v>13</v>
      </c>
      <c r="G121" s="6" t="s">
        <v>169</v>
      </c>
      <c r="H121" s="7">
        <v>23.4</v>
      </c>
      <c r="I121" s="6" t="s">
        <v>170</v>
      </c>
      <c r="J121" s="7">
        <v>13.78</v>
      </c>
      <c r="K121" s="6" t="s">
        <v>171</v>
      </c>
      <c r="L121" s="7">
        <v>49.74</v>
      </c>
      <c r="M121" s="6" t="s">
        <v>34</v>
      </c>
      <c r="N121" s="7">
        <v>2.02</v>
      </c>
    </row>
    <row r="122" spans="1:14" x14ac:dyDescent="0.25">
      <c r="A122" s="6" t="s">
        <v>286</v>
      </c>
      <c r="B122" s="6" t="str">
        <f t="shared" si="1"/>
        <v>TA2660</v>
      </c>
      <c r="C122" s="6" t="s">
        <v>287</v>
      </c>
      <c r="D122" s="6" t="s">
        <v>12</v>
      </c>
      <c r="E122" s="6" t="s">
        <v>13</v>
      </c>
      <c r="F122" s="6" t="s">
        <v>13</v>
      </c>
      <c r="G122" s="6" t="s">
        <v>88</v>
      </c>
      <c r="H122" s="7">
        <v>322.95999999999998</v>
      </c>
      <c r="I122" s="6"/>
      <c r="J122" s="6"/>
      <c r="K122" s="6"/>
      <c r="L122" s="6"/>
      <c r="M122" s="6" t="s">
        <v>97</v>
      </c>
      <c r="N122" s="7">
        <v>9.5399999999999991</v>
      </c>
    </row>
    <row r="123" spans="1:14" x14ac:dyDescent="0.25">
      <c r="A123" s="6" t="s">
        <v>288</v>
      </c>
      <c r="B123" s="6" t="str">
        <f t="shared" si="1"/>
        <v>PM1430</v>
      </c>
      <c r="C123" s="6" t="s">
        <v>289</v>
      </c>
      <c r="D123" s="6" t="s">
        <v>12</v>
      </c>
      <c r="E123" s="6" t="s">
        <v>13</v>
      </c>
      <c r="F123" s="6" t="s">
        <v>13</v>
      </c>
      <c r="G123" s="6" t="s">
        <v>96</v>
      </c>
      <c r="H123" s="7">
        <v>78.75</v>
      </c>
      <c r="I123" s="6"/>
      <c r="J123" s="6"/>
      <c r="K123" s="6"/>
      <c r="L123" s="6"/>
      <c r="M123" s="6" t="s">
        <v>89</v>
      </c>
      <c r="N123" s="7">
        <v>1.71</v>
      </c>
    </row>
    <row r="124" spans="1:14" x14ac:dyDescent="0.25">
      <c r="A124" s="6" t="s">
        <v>290</v>
      </c>
      <c r="B124" s="6" t="str">
        <f t="shared" si="1"/>
        <v>PM1170</v>
      </c>
      <c r="C124" s="6" t="s">
        <v>291</v>
      </c>
      <c r="D124" s="6" t="s">
        <v>12</v>
      </c>
      <c r="E124" s="6" t="s">
        <v>13</v>
      </c>
      <c r="F124" s="6" t="s">
        <v>13</v>
      </c>
      <c r="G124" s="6" t="s">
        <v>229</v>
      </c>
      <c r="H124" s="7">
        <v>13.03</v>
      </c>
      <c r="I124" s="6" t="s">
        <v>230</v>
      </c>
      <c r="J124" s="7">
        <v>41.63</v>
      </c>
      <c r="K124" s="6"/>
      <c r="L124" s="6"/>
      <c r="M124" s="6" t="s">
        <v>28</v>
      </c>
      <c r="N124" s="7">
        <v>1.82</v>
      </c>
    </row>
    <row r="125" spans="1:14" x14ac:dyDescent="0.25">
      <c r="A125" s="6" t="s">
        <v>292</v>
      </c>
      <c r="B125" s="6" t="str">
        <f t="shared" si="1"/>
        <v>NA2050</v>
      </c>
      <c r="C125" s="6" t="s">
        <v>293</v>
      </c>
      <c r="D125" s="6" t="s">
        <v>12</v>
      </c>
      <c r="E125" s="6" t="s">
        <v>13</v>
      </c>
      <c r="F125" s="6" t="s">
        <v>13</v>
      </c>
      <c r="G125" s="6" t="s">
        <v>85</v>
      </c>
      <c r="H125" s="7">
        <v>36.909999999999997</v>
      </c>
      <c r="I125" s="6" t="s">
        <v>44</v>
      </c>
      <c r="J125" s="7">
        <v>7.09</v>
      </c>
      <c r="K125" s="6"/>
      <c r="L125" s="6"/>
      <c r="M125" s="6"/>
      <c r="N125" s="6"/>
    </row>
    <row r="126" spans="1:14" x14ac:dyDescent="0.25">
      <c r="A126" s="6" t="s">
        <v>294</v>
      </c>
      <c r="B126" s="6" t="str">
        <f t="shared" si="1"/>
        <v>NA2060</v>
      </c>
      <c r="C126" s="6" t="s">
        <v>295</v>
      </c>
      <c r="D126" s="6" t="s">
        <v>12</v>
      </c>
      <c r="E126" s="6" t="s">
        <v>13</v>
      </c>
      <c r="F126" s="6" t="s">
        <v>13</v>
      </c>
      <c r="G126" s="6" t="s">
        <v>200</v>
      </c>
      <c r="H126" s="7">
        <v>38.409999999999997</v>
      </c>
      <c r="I126" s="6" t="s">
        <v>183</v>
      </c>
      <c r="J126" s="7">
        <v>5.32</v>
      </c>
      <c r="K126" s="6"/>
      <c r="L126" s="6"/>
      <c r="M126" s="6"/>
      <c r="N126" s="6"/>
    </row>
    <row r="127" spans="1:14" x14ac:dyDescent="0.25">
      <c r="A127" s="6" t="s">
        <v>296</v>
      </c>
      <c r="B127" s="6" t="str">
        <f t="shared" si="1"/>
        <v>PM1200</v>
      </c>
      <c r="C127" s="6" t="s">
        <v>297</v>
      </c>
      <c r="D127" s="6" t="s">
        <v>12</v>
      </c>
      <c r="E127" s="6" t="s">
        <v>13</v>
      </c>
      <c r="F127" s="6" t="s">
        <v>13</v>
      </c>
      <c r="G127" s="6" t="s">
        <v>229</v>
      </c>
      <c r="H127" s="7">
        <v>65.819999999999993</v>
      </c>
      <c r="I127" s="6" t="s">
        <v>230</v>
      </c>
      <c r="J127" s="7">
        <v>219.56</v>
      </c>
      <c r="K127" s="6"/>
      <c r="L127" s="6"/>
      <c r="M127" s="6" t="s">
        <v>28</v>
      </c>
      <c r="N127" s="7">
        <v>7.28</v>
      </c>
    </row>
    <row r="128" spans="1:14" x14ac:dyDescent="0.25">
      <c r="A128" s="6" t="s">
        <v>298</v>
      </c>
      <c r="B128" s="6" t="str">
        <f t="shared" si="1"/>
        <v>TA2700</v>
      </c>
      <c r="C128" s="6" t="s">
        <v>299</v>
      </c>
      <c r="D128" s="6" t="s">
        <v>12</v>
      </c>
      <c r="E128" s="6" t="s">
        <v>13</v>
      </c>
      <c r="F128" s="6" t="s">
        <v>13</v>
      </c>
      <c r="G128" s="6" t="s">
        <v>88</v>
      </c>
      <c r="H128" s="7">
        <v>198.04</v>
      </c>
      <c r="I128" s="6"/>
      <c r="J128" s="6"/>
      <c r="K128" s="6"/>
      <c r="L128" s="6"/>
      <c r="M128" s="6" t="s">
        <v>89</v>
      </c>
      <c r="N128" s="7">
        <v>5.34</v>
      </c>
    </row>
    <row r="129" spans="1:14" x14ac:dyDescent="0.25">
      <c r="A129" s="6" t="s">
        <v>300</v>
      </c>
      <c r="B129" s="6" t="str">
        <f t="shared" si="1"/>
        <v>TA2650</v>
      </c>
      <c r="C129" s="6" t="s">
        <v>301</v>
      </c>
      <c r="D129" s="6" t="s">
        <v>12</v>
      </c>
      <c r="E129" s="6" t="s">
        <v>13</v>
      </c>
      <c r="F129" s="6" t="s">
        <v>13</v>
      </c>
      <c r="G129" s="6" t="s">
        <v>88</v>
      </c>
      <c r="H129" s="7">
        <v>402.5</v>
      </c>
      <c r="I129" s="6"/>
      <c r="J129" s="6"/>
      <c r="K129" s="6"/>
      <c r="L129" s="6"/>
      <c r="M129" s="6" t="s">
        <v>97</v>
      </c>
      <c r="N129" s="7">
        <v>11.92</v>
      </c>
    </row>
    <row r="130" spans="1:14" x14ac:dyDescent="0.25">
      <c r="A130" s="6" t="s">
        <v>302</v>
      </c>
      <c r="B130" s="6" t="str">
        <f t="shared" ref="B130:B193" si="2">MID(A130,8,6)</f>
        <v>TA2670</v>
      </c>
      <c r="C130" s="6" t="s">
        <v>303</v>
      </c>
      <c r="D130" s="6" t="s">
        <v>12</v>
      </c>
      <c r="E130" s="6" t="s">
        <v>13</v>
      </c>
      <c r="F130" s="6" t="s">
        <v>13</v>
      </c>
      <c r="G130" s="6" t="s">
        <v>88</v>
      </c>
      <c r="H130" s="7">
        <v>97.06</v>
      </c>
      <c r="I130" s="6"/>
      <c r="J130" s="6"/>
      <c r="K130" s="6"/>
      <c r="L130" s="6"/>
      <c r="M130" s="6" t="s">
        <v>89</v>
      </c>
      <c r="N130" s="7">
        <v>2.48</v>
      </c>
    </row>
    <row r="131" spans="1:14" x14ac:dyDescent="0.25">
      <c r="A131" s="6" t="s">
        <v>304</v>
      </c>
      <c r="B131" s="6" t="str">
        <f t="shared" si="2"/>
        <v>PM1260</v>
      </c>
      <c r="C131" s="6" t="s">
        <v>305</v>
      </c>
      <c r="D131" s="6" t="s">
        <v>12</v>
      </c>
      <c r="E131" s="6" t="s">
        <v>13</v>
      </c>
      <c r="F131" s="6" t="s">
        <v>13</v>
      </c>
      <c r="G131" s="6" t="s">
        <v>229</v>
      </c>
      <c r="H131" s="7">
        <v>6.09</v>
      </c>
      <c r="I131" s="6" t="s">
        <v>230</v>
      </c>
      <c r="J131" s="7">
        <v>40.29</v>
      </c>
      <c r="K131" s="6"/>
      <c r="L131" s="6"/>
      <c r="M131" s="6" t="s">
        <v>231</v>
      </c>
      <c r="N131" s="7">
        <v>2.38</v>
      </c>
    </row>
    <row r="132" spans="1:14" x14ac:dyDescent="0.25">
      <c r="A132" s="6" t="s">
        <v>306</v>
      </c>
      <c r="B132" s="6" t="str">
        <f t="shared" si="2"/>
        <v>NA2040</v>
      </c>
      <c r="C132" s="6" t="s">
        <v>307</v>
      </c>
      <c r="D132" s="6" t="s">
        <v>12</v>
      </c>
      <c r="E132" s="6" t="s">
        <v>13</v>
      </c>
      <c r="F132" s="6" t="s">
        <v>13</v>
      </c>
      <c r="G132" s="6" t="s">
        <v>85</v>
      </c>
      <c r="H132" s="7">
        <v>41.96</v>
      </c>
      <c r="I132" s="6" t="s">
        <v>44</v>
      </c>
      <c r="J132" s="7">
        <v>8.0399999999999991</v>
      </c>
      <c r="K132" s="6"/>
      <c r="L132" s="6"/>
      <c r="M132" s="6"/>
      <c r="N132" s="6"/>
    </row>
    <row r="133" spans="1:14" x14ac:dyDescent="0.25">
      <c r="A133" s="6" t="s">
        <v>308</v>
      </c>
      <c r="B133" s="6" t="str">
        <f t="shared" si="2"/>
        <v>NA2810</v>
      </c>
      <c r="C133" s="6" t="s">
        <v>309</v>
      </c>
      <c r="D133" s="6" t="s">
        <v>12</v>
      </c>
      <c r="E133" s="6" t="s">
        <v>13</v>
      </c>
      <c r="F133" s="6" t="s">
        <v>13</v>
      </c>
      <c r="G133" s="6" t="s">
        <v>31</v>
      </c>
      <c r="H133" s="7">
        <v>5</v>
      </c>
      <c r="I133" s="6" t="s">
        <v>32</v>
      </c>
      <c r="J133" s="7">
        <v>4.29</v>
      </c>
      <c r="K133" s="6" t="s">
        <v>33</v>
      </c>
      <c r="L133" s="7">
        <v>11.12</v>
      </c>
      <c r="M133" s="6" t="s">
        <v>34</v>
      </c>
      <c r="N133" s="7">
        <v>0.54</v>
      </c>
    </row>
    <row r="134" spans="1:14" x14ac:dyDescent="0.25">
      <c r="A134" s="6" t="s">
        <v>310</v>
      </c>
      <c r="B134" s="6" t="str">
        <f t="shared" si="2"/>
        <v>TA2600</v>
      </c>
      <c r="C134" s="6" t="s">
        <v>311</v>
      </c>
      <c r="D134" s="6" t="s">
        <v>12</v>
      </c>
      <c r="E134" s="6" t="s">
        <v>13</v>
      </c>
      <c r="F134" s="6" t="s">
        <v>13</v>
      </c>
      <c r="G134" s="6" t="s">
        <v>31</v>
      </c>
      <c r="H134" s="7">
        <v>17.46</v>
      </c>
      <c r="I134" s="6" t="s">
        <v>37</v>
      </c>
      <c r="J134" s="7">
        <v>6.2</v>
      </c>
      <c r="K134" s="6" t="s">
        <v>38</v>
      </c>
      <c r="L134" s="7">
        <v>31.69</v>
      </c>
      <c r="M134" s="6" t="s">
        <v>34</v>
      </c>
      <c r="N134" s="7">
        <v>1.4</v>
      </c>
    </row>
    <row r="135" spans="1:14" x14ac:dyDescent="0.25">
      <c r="A135" s="6" t="s">
        <v>312</v>
      </c>
      <c r="B135" s="6" t="str">
        <f t="shared" si="2"/>
        <v>HN0550</v>
      </c>
      <c r="C135" s="6" t="s">
        <v>313</v>
      </c>
      <c r="D135" s="6" t="s">
        <v>12</v>
      </c>
      <c r="E135" s="6" t="s">
        <v>13</v>
      </c>
      <c r="F135" s="6" t="s">
        <v>13</v>
      </c>
      <c r="G135" s="6" t="s">
        <v>31</v>
      </c>
      <c r="H135" s="7">
        <v>14.5</v>
      </c>
      <c r="I135" s="6" t="s">
        <v>37</v>
      </c>
      <c r="J135" s="7">
        <v>5.15</v>
      </c>
      <c r="K135" s="6" t="s">
        <v>38</v>
      </c>
      <c r="L135" s="7">
        <v>26.31</v>
      </c>
      <c r="M135" s="6" t="s">
        <v>34</v>
      </c>
      <c r="N135" s="7">
        <v>1.17</v>
      </c>
    </row>
    <row r="136" spans="1:14" x14ac:dyDescent="0.25">
      <c r="A136" s="6" t="s">
        <v>314</v>
      </c>
      <c r="B136" s="6" t="str">
        <f t="shared" si="2"/>
        <v>HN0540</v>
      </c>
      <c r="C136" s="6" t="s">
        <v>315</v>
      </c>
      <c r="D136" s="6" t="s">
        <v>12</v>
      </c>
      <c r="E136" s="6" t="s">
        <v>13</v>
      </c>
      <c r="F136" s="6" t="s">
        <v>13</v>
      </c>
      <c r="G136" s="6" t="s">
        <v>31</v>
      </c>
      <c r="H136" s="7">
        <v>17.79</v>
      </c>
      <c r="I136" s="6" t="s">
        <v>37</v>
      </c>
      <c r="J136" s="7">
        <v>6.32</v>
      </c>
      <c r="K136" s="6" t="s">
        <v>38</v>
      </c>
      <c r="L136" s="7">
        <v>32.29</v>
      </c>
      <c r="M136" s="6" t="s">
        <v>34</v>
      </c>
      <c r="N136" s="7">
        <v>1.43</v>
      </c>
    </row>
    <row r="137" spans="1:14" x14ac:dyDescent="0.25">
      <c r="A137" s="6" t="s">
        <v>316</v>
      </c>
      <c r="B137" s="6" t="str">
        <f t="shared" si="2"/>
        <v>HN0590</v>
      </c>
      <c r="C137" s="6" t="s">
        <v>317</v>
      </c>
      <c r="D137" s="6" t="s">
        <v>12</v>
      </c>
      <c r="E137" s="6" t="s">
        <v>13</v>
      </c>
      <c r="F137" s="6" t="s">
        <v>13</v>
      </c>
      <c r="G137" s="6" t="s">
        <v>31</v>
      </c>
      <c r="H137" s="7">
        <v>25.96</v>
      </c>
      <c r="I137" s="6" t="s">
        <v>37</v>
      </c>
      <c r="J137" s="7">
        <v>9.2200000000000006</v>
      </c>
      <c r="K137" s="6" t="s">
        <v>38</v>
      </c>
      <c r="L137" s="7">
        <v>47.12</v>
      </c>
      <c r="M137" s="6" t="s">
        <v>34</v>
      </c>
      <c r="N137" s="7">
        <v>2.09</v>
      </c>
    </row>
    <row r="138" spans="1:14" x14ac:dyDescent="0.25">
      <c r="A138" s="6" t="s">
        <v>318</v>
      </c>
      <c r="B138" s="6" t="str">
        <f t="shared" si="2"/>
        <v>TA2640</v>
      </c>
      <c r="C138" s="6" t="s">
        <v>319</v>
      </c>
      <c r="D138" s="6" t="s">
        <v>12</v>
      </c>
      <c r="E138" s="6" t="s">
        <v>13</v>
      </c>
      <c r="F138" s="6" t="s">
        <v>13</v>
      </c>
      <c r="G138" s="6" t="s">
        <v>88</v>
      </c>
      <c r="H138" s="7">
        <v>431.99</v>
      </c>
      <c r="I138" s="6"/>
      <c r="J138" s="6"/>
      <c r="K138" s="6"/>
      <c r="L138" s="6"/>
      <c r="M138" s="6" t="s">
        <v>97</v>
      </c>
      <c r="N138" s="7">
        <v>12.78</v>
      </c>
    </row>
    <row r="139" spans="1:14" x14ac:dyDescent="0.25">
      <c r="A139" s="6" t="s">
        <v>320</v>
      </c>
      <c r="B139" s="6" t="str">
        <f t="shared" si="2"/>
        <v>PM1350</v>
      </c>
      <c r="C139" s="6" t="s">
        <v>321</v>
      </c>
      <c r="D139" s="6" t="s">
        <v>12</v>
      </c>
      <c r="E139" s="6" t="s">
        <v>13</v>
      </c>
      <c r="F139" s="6" t="s">
        <v>13</v>
      </c>
      <c r="G139" s="6" t="s">
        <v>230</v>
      </c>
      <c r="H139" s="7">
        <v>52</v>
      </c>
      <c r="I139" s="6"/>
      <c r="J139" s="6"/>
      <c r="K139" s="6"/>
      <c r="L139" s="6"/>
      <c r="M139" s="6"/>
      <c r="N139" s="6"/>
    </row>
    <row r="140" spans="1:14" x14ac:dyDescent="0.25">
      <c r="A140" s="6" t="s">
        <v>322</v>
      </c>
      <c r="B140" s="6" t="str">
        <f t="shared" si="2"/>
        <v>PM1220</v>
      </c>
      <c r="C140" s="6" t="s">
        <v>323</v>
      </c>
      <c r="D140" s="6" t="s">
        <v>12</v>
      </c>
      <c r="E140" s="6" t="s">
        <v>13</v>
      </c>
      <c r="F140" s="6" t="s">
        <v>13</v>
      </c>
      <c r="G140" s="6" t="s">
        <v>14</v>
      </c>
      <c r="H140" s="7">
        <v>97.72</v>
      </c>
      <c r="I140" s="6"/>
      <c r="J140" s="6"/>
      <c r="K140" s="6"/>
      <c r="L140" s="6"/>
      <c r="M140" s="6" t="s">
        <v>28</v>
      </c>
      <c r="N140" s="7">
        <v>0.12</v>
      </c>
    </row>
    <row r="141" spans="1:14" x14ac:dyDescent="0.25">
      <c r="A141" s="6" t="s">
        <v>324</v>
      </c>
      <c r="B141" s="6" t="str">
        <f t="shared" si="2"/>
        <v>NA2740</v>
      </c>
      <c r="C141" s="6" t="s">
        <v>325</v>
      </c>
      <c r="D141" s="6" t="s">
        <v>12</v>
      </c>
      <c r="E141" s="6" t="s">
        <v>13</v>
      </c>
      <c r="F141" s="6" t="s">
        <v>13</v>
      </c>
      <c r="G141" s="6" t="s">
        <v>96</v>
      </c>
      <c r="H141" s="7">
        <v>68.86</v>
      </c>
      <c r="I141" s="6"/>
      <c r="J141" s="6"/>
      <c r="K141" s="6"/>
      <c r="L141" s="6"/>
      <c r="M141" s="6" t="s">
        <v>89</v>
      </c>
      <c r="N141" s="7">
        <v>2.2599999999999998</v>
      </c>
    </row>
    <row r="142" spans="1:14" x14ac:dyDescent="0.25">
      <c r="A142" s="6" t="s">
        <v>326</v>
      </c>
      <c r="B142" s="6" t="str">
        <f t="shared" si="2"/>
        <v>PM1090</v>
      </c>
      <c r="C142" s="6" t="s">
        <v>327</v>
      </c>
      <c r="D142" s="6" t="s">
        <v>12</v>
      </c>
      <c r="E142" s="6" t="s">
        <v>13</v>
      </c>
      <c r="F142" s="6" t="s">
        <v>13</v>
      </c>
      <c r="G142" s="6" t="s">
        <v>31</v>
      </c>
      <c r="H142" s="7">
        <v>27.06</v>
      </c>
      <c r="I142" s="6" t="s">
        <v>32</v>
      </c>
      <c r="J142" s="7">
        <v>31.09</v>
      </c>
      <c r="K142" s="6" t="s">
        <v>33</v>
      </c>
      <c r="L142" s="7">
        <v>26.11</v>
      </c>
      <c r="M142" s="6" t="s">
        <v>34</v>
      </c>
      <c r="N142" s="7">
        <v>2.0099999999999998</v>
      </c>
    </row>
    <row r="143" spans="1:14" x14ac:dyDescent="0.25">
      <c r="A143" s="6" t="s">
        <v>328</v>
      </c>
      <c r="B143" s="6" t="str">
        <f t="shared" si="2"/>
        <v>PM1100</v>
      </c>
      <c r="C143" s="6" t="s">
        <v>329</v>
      </c>
      <c r="D143" s="6" t="s">
        <v>12</v>
      </c>
      <c r="E143" s="6" t="s">
        <v>13</v>
      </c>
      <c r="F143" s="6" t="s">
        <v>13</v>
      </c>
      <c r="G143" s="6" t="s">
        <v>96</v>
      </c>
      <c r="H143" s="7">
        <v>116.23</v>
      </c>
      <c r="I143" s="6"/>
      <c r="J143" s="6"/>
      <c r="K143" s="6"/>
      <c r="L143" s="6"/>
      <c r="M143" s="6"/>
      <c r="N143" s="6"/>
    </row>
    <row r="144" spans="1:14" x14ac:dyDescent="0.25">
      <c r="A144" s="6" t="s">
        <v>330</v>
      </c>
      <c r="B144" s="6" t="str">
        <f t="shared" si="2"/>
        <v>NA1890</v>
      </c>
      <c r="C144" s="6" t="s">
        <v>331</v>
      </c>
      <c r="D144" s="6" t="s">
        <v>12</v>
      </c>
      <c r="E144" s="6" t="s">
        <v>13</v>
      </c>
      <c r="F144" s="6" t="s">
        <v>13</v>
      </c>
      <c r="G144" s="6" t="s">
        <v>96</v>
      </c>
      <c r="H144" s="7">
        <v>102.29</v>
      </c>
      <c r="I144" s="6"/>
      <c r="J144" s="6"/>
      <c r="K144" s="6"/>
      <c r="L144" s="6"/>
      <c r="M144" s="6" t="s">
        <v>89</v>
      </c>
      <c r="N144" s="7">
        <v>3.6</v>
      </c>
    </row>
    <row r="145" spans="1:14" x14ac:dyDescent="0.25">
      <c r="A145" s="6" t="s">
        <v>332</v>
      </c>
      <c r="B145" s="6" t="str">
        <f t="shared" si="2"/>
        <v>HN0560</v>
      </c>
      <c r="C145" s="6" t="s">
        <v>333</v>
      </c>
      <c r="D145" s="6" t="s">
        <v>12</v>
      </c>
      <c r="E145" s="6" t="s">
        <v>13</v>
      </c>
      <c r="F145" s="6" t="s">
        <v>13</v>
      </c>
      <c r="G145" s="6" t="s">
        <v>31</v>
      </c>
      <c r="H145" s="7">
        <v>10.54</v>
      </c>
      <c r="I145" s="6" t="s">
        <v>37</v>
      </c>
      <c r="J145" s="7">
        <v>3.74</v>
      </c>
      <c r="K145" s="6" t="s">
        <v>38</v>
      </c>
      <c r="L145" s="7">
        <v>19.14</v>
      </c>
      <c r="M145" s="6" t="s">
        <v>34</v>
      </c>
      <c r="N145" s="7">
        <v>0.85</v>
      </c>
    </row>
    <row r="146" spans="1:14" x14ac:dyDescent="0.25">
      <c r="A146" s="6" t="s">
        <v>334</v>
      </c>
      <c r="B146" s="6" t="str">
        <f t="shared" si="2"/>
        <v>TA2631</v>
      </c>
      <c r="C146" s="6" t="s">
        <v>335</v>
      </c>
      <c r="D146" s="6" t="s">
        <v>12</v>
      </c>
      <c r="E146" s="6" t="s">
        <v>13</v>
      </c>
      <c r="F146" s="6" t="s">
        <v>13</v>
      </c>
      <c r="G146" s="6" t="s">
        <v>88</v>
      </c>
      <c r="H146" s="7">
        <v>122.22</v>
      </c>
      <c r="I146" s="6"/>
      <c r="J146" s="6"/>
      <c r="K146" s="6"/>
      <c r="L146" s="6"/>
      <c r="M146" s="6" t="s">
        <v>89</v>
      </c>
      <c r="N146" s="7">
        <v>3.49</v>
      </c>
    </row>
    <row r="147" spans="1:14" x14ac:dyDescent="0.25">
      <c r="A147" s="6" t="s">
        <v>336</v>
      </c>
      <c r="B147" s="6" t="str">
        <f t="shared" si="2"/>
        <v>NA2990</v>
      </c>
      <c r="C147" s="6" t="s">
        <v>337</v>
      </c>
      <c r="D147" s="6" t="s">
        <v>12</v>
      </c>
      <c r="E147" s="6" t="s">
        <v>13</v>
      </c>
      <c r="F147" s="6" t="s">
        <v>13</v>
      </c>
      <c r="G147" s="6" t="s">
        <v>31</v>
      </c>
      <c r="H147" s="7">
        <v>23.55</v>
      </c>
      <c r="I147" s="6" t="s">
        <v>32</v>
      </c>
      <c r="J147" s="7">
        <v>20.260000000000002</v>
      </c>
      <c r="K147" s="6" t="s">
        <v>33</v>
      </c>
      <c r="L147" s="7">
        <v>52.41</v>
      </c>
      <c r="M147" s="6" t="s">
        <v>34</v>
      </c>
      <c r="N147" s="7">
        <v>2.54</v>
      </c>
    </row>
    <row r="148" spans="1:14" x14ac:dyDescent="0.25">
      <c r="A148" s="6" t="s">
        <v>338</v>
      </c>
      <c r="B148" s="6" t="str">
        <f t="shared" si="2"/>
        <v>NA1860</v>
      </c>
      <c r="C148" s="6" t="s">
        <v>339</v>
      </c>
      <c r="D148" s="6" t="s">
        <v>12</v>
      </c>
      <c r="E148" s="6" t="s">
        <v>13</v>
      </c>
      <c r="F148" s="6" t="s">
        <v>13</v>
      </c>
      <c r="G148" s="6" t="s">
        <v>96</v>
      </c>
      <c r="H148" s="7">
        <v>86.68</v>
      </c>
      <c r="I148" s="6"/>
      <c r="J148" s="6"/>
      <c r="K148" s="6"/>
      <c r="L148" s="6"/>
      <c r="M148" s="6" t="s">
        <v>97</v>
      </c>
      <c r="N148" s="7">
        <v>3.46</v>
      </c>
    </row>
    <row r="149" spans="1:14" x14ac:dyDescent="0.25">
      <c r="A149" s="6" t="s">
        <v>340</v>
      </c>
      <c r="B149" s="6" t="str">
        <f t="shared" si="2"/>
        <v>PM1110</v>
      </c>
      <c r="C149" s="6" t="s">
        <v>341</v>
      </c>
      <c r="D149" s="6" t="s">
        <v>12</v>
      </c>
      <c r="E149" s="6" t="s">
        <v>13</v>
      </c>
      <c r="F149" s="6" t="s">
        <v>13</v>
      </c>
      <c r="G149" s="6" t="s">
        <v>88</v>
      </c>
      <c r="H149" s="7">
        <v>141.63</v>
      </c>
      <c r="I149" s="6" t="s">
        <v>88</v>
      </c>
      <c r="J149" s="7">
        <v>160.41</v>
      </c>
      <c r="K149" s="6"/>
      <c r="L149" s="6"/>
      <c r="M149" s="6" t="s">
        <v>97</v>
      </c>
      <c r="N149" s="7">
        <v>8.57</v>
      </c>
    </row>
    <row r="150" spans="1:14" x14ac:dyDescent="0.25">
      <c r="A150" s="6" t="s">
        <v>342</v>
      </c>
      <c r="B150" s="6" t="str">
        <f t="shared" si="2"/>
        <v>NA1840</v>
      </c>
      <c r="C150" s="6" t="s">
        <v>343</v>
      </c>
      <c r="D150" s="6" t="s">
        <v>12</v>
      </c>
      <c r="E150" s="6" t="s">
        <v>13</v>
      </c>
      <c r="F150" s="6" t="s">
        <v>13</v>
      </c>
      <c r="G150" s="6" t="s">
        <v>96</v>
      </c>
      <c r="H150" s="7">
        <v>81.319999999999993</v>
      </c>
      <c r="I150" s="6"/>
      <c r="J150" s="6"/>
      <c r="K150" s="6"/>
      <c r="L150" s="6"/>
      <c r="M150" s="6" t="s">
        <v>344</v>
      </c>
      <c r="N150" s="7">
        <v>1.88</v>
      </c>
    </row>
    <row r="151" spans="1:14" x14ac:dyDescent="0.25">
      <c r="A151" s="6" t="s">
        <v>345</v>
      </c>
      <c r="B151" s="6" t="str">
        <f t="shared" si="2"/>
        <v>NA1850</v>
      </c>
      <c r="C151" s="6" t="s">
        <v>346</v>
      </c>
      <c r="D151" s="6" t="s">
        <v>12</v>
      </c>
      <c r="E151" s="6" t="s">
        <v>13</v>
      </c>
      <c r="F151" s="6" t="s">
        <v>13</v>
      </c>
      <c r="G151" s="6" t="s">
        <v>96</v>
      </c>
      <c r="H151" s="7">
        <v>46.52</v>
      </c>
      <c r="I151" s="6"/>
      <c r="J151" s="6"/>
      <c r="K151" s="6"/>
      <c r="L151" s="6"/>
      <c r="M151" s="6" t="s">
        <v>89</v>
      </c>
      <c r="N151" s="7">
        <v>1.22</v>
      </c>
    </row>
    <row r="152" spans="1:14" x14ac:dyDescent="0.25">
      <c r="A152" s="6" t="s">
        <v>347</v>
      </c>
      <c r="B152" s="6" t="str">
        <f t="shared" si="2"/>
        <v>PM1160</v>
      </c>
      <c r="C152" s="6" t="s">
        <v>348</v>
      </c>
      <c r="D152" s="6" t="s">
        <v>12</v>
      </c>
      <c r="E152" s="6" t="s">
        <v>13</v>
      </c>
      <c r="F152" s="6" t="s">
        <v>13</v>
      </c>
      <c r="G152" s="6" t="s">
        <v>229</v>
      </c>
      <c r="H152" s="7">
        <v>14.53</v>
      </c>
      <c r="I152" s="6" t="s">
        <v>230</v>
      </c>
      <c r="J152" s="7">
        <v>44.23</v>
      </c>
      <c r="K152" s="6"/>
      <c r="L152" s="6"/>
      <c r="M152" s="6" t="s">
        <v>28</v>
      </c>
      <c r="N152" s="7">
        <v>1.89</v>
      </c>
    </row>
    <row r="153" spans="1:14" x14ac:dyDescent="0.25">
      <c r="A153" s="6" t="s">
        <v>349</v>
      </c>
      <c r="B153" s="6" t="str">
        <f t="shared" si="2"/>
        <v>PM1060</v>
      </c>
      <c r="C153" s="6" t="s">
        <v>350</v>
      </c>
      <c r="D153" s="6" t="s">
        <v>12</v>
      </c>
      <c r="E153" s="6" t="s">
        <v>13</v>
      </c>
      <c r="F153" s="6" t="s">
        <v>13</v>
      </c>
      <c r="G153" s="6" t="s">
        <v>96</v>
      </c>
      <c r="H153" s="7">
        <v>60.38</v>
      </c>
      <c r="I153" s="6"/>
      <c r="J153" s="6"/>
      <c r="K153" s="6"/>
      <c r="L153" s="6"/>
      <c r="M153" s="6"/>
      <c r="N153" s="6"/>
    </row>
    <row r="154" spans="1:14" x14ac:dyDescent="0.25">
      <c r="A154" s="6" t="s">
        <v>351</v>
      </c>
      <c r="B154" s="6" t="str">
        <f t="shared" si="2"/>
        <v>TA0190</v>
      </c>
      <c r="C154" s="6" t="s">
        <v>352</v>
      </c>
      <c r="D154" s="6" t="s">
        <v>12</v>
      </c>
      <c r="E154" s="6" t="s">
        <v>13</v>
      </c>
      <c r="F154" s="6" t="s">
        <v>13</v>
      </c>
      <c r="G154" s="6" t="s">
        <v>178</v>
      </c>
      <c r="H154" s="7">
        <v>32.659999999999997</v>
      </c>
      <c r="I154" s="6" t="s">
        <v>179</v>
      </c>
      <c r="J154" s="7">
        <v>36.369999999999997</v>
      </c>
      <c r="K154" s="6"/>
      <c r="L154" s="6"/>
      <c r="M154" s="6" t="s">
        <v>34</v>
      </c>
      <c r="N154" s="7">
        <v>3.63</v>
      </c>
    </row>
    <row r="155" spans="1:14" x14ac:dyDescent="0.25">
      <c r="A155" s="6" t="s">
        <v>353</v>
      </c>
      <c r="B155" s="6" t="str">
        <f t="shared" si="2"/>
        <v>TA0682</v>
      </c>
      <c r="C155" s="6" t="s">
        <v>354</v>
      </c>
      <c r="D155" s="6" t="s">
        <v>12</v>
      </c>
      <c r="E155" s="6" t="s">
        <v>13</v>
      </c>
      <c r="F155" s="6" t="s">
        <v>13</v>
      </c>
      <c r="G155" s="6" t="s">
        <v>43</v>
      </c>
      <c r="H155" s="7">
        <v>76.34</v>
      </c>
      <c r="I155" s="6" t="s">
        <v>183</v>
      </c>
      <c r="J155" s="7">
        <v>14.67</v>
      </c>
      <c r="K155" s="6"/>
      <c r="L155" s="6"/>
      <c r="M155" s="6"/>
      <c r="N155" s="6"/>
    </row>
    <row r="156" spans="1:14" x14ac:dyDescent="0.25">
      <c r="A156" s="6" t="s">
        <v>355</v>
      </c>
      <c r="B156" s="6" t="str">
        <f t="shared" si="2"/>
        <v>PM1210</v>
      </c>
      <c r="C156" s="6" t="s">
        <v>356</v>
      </c>
      <c r="D156" s="6" t="s">
        <v>12</v>
      </c>
      <c r="E156" s="6" t="s">
        <v>13</v>
      </c>
      <c r="F156" s="6" t="s">
        <v>13</v>
      </c>
      <c r="G156" s="6" t="s">
        <v>229</v>
      </c>
      <c r="H156" s="7">
        <v>31.32</v>
      </c>
      <c r="I156" s="6" t="s">
        <v>230</v>
      </c>
      <c r="J156" s="7">
        <v>104.48</v>
      </c>
      <c r="K156" s="6"/>
      <c r="L156" s="6"/>
      <c r="M156" s="6" t="s">
        <v>28</v>
      </c>
      <c r="N156" s="7">
        <v>3.29</v>
      </c>
    </row>
    <row r="157" spans="1:14" x14ac:dyDescent="0.25">
      <c r="A157" s="6" t="s">
        <v>357</v>
      </c>
      <c r="B157" s="6" t="str">
        <f t="shared" si="2"/>
        <v>TA2590</v>
      </c>
      <c r="C157" s="6" t="s">
        <v>358</v>
      </c>
      <c r="D157" s="6" t="s">
        <v>12</v>
      </c>
      <c r="E157" s="6" t="s">
        <v>13</v>
      </c>
      <c r="F157" s="6" t="s">
        <v>13</v>
      </c>
      <c r="G157" s="6" t="s">
        <v>31</v>
      </c>
      <c r="H157" s="7">
        <v>16.48</v>
      </c>
      <c r="I157" s="6" t="s">
        <v>37</v>
      </c>
      <c r="J157" s="7">
        <v>5.85</v>
      </c>
      <c r="K157" s="6" t="s">
        <v>38</v>
      </c>
      <c r="L157" s="7">
        <v>29.9</v>
      </c>
      <c r="M157" s="6" t="s">
        <v>34</v>
      </c>
      <c r="N157" s="7">
        <v>1.33</v>
      </c>
    </row>
    <row r="158" spans="1:14" x14ac:dyDescent="0.25">
      <c r="A158" s="6" t="s">
        <v>359</v>
      </c>
      <c r="B158" s="6" t="str">
        <f t="shared" si="2"/>
        <v>TA2722</v>
      </c>
      <c r="C158" s="6" t="s">
        <v>360</v>
      </c>
      <c r="D158" s="6" t="s">
        <v>12</v>
      </c>
      <c r="E158" s="6" t="s">
        <v>13</v>
      </c>
      <c r="F158" s="6" t="s">
        <v>13</v>
      </c>
      <c r="G158" s="6" t="s">
        <v>31</v>
      </c>
      <c r="H158" s="7">
        <v>34.58</v>
      </c>
      <c r="I158" s="6" t="s">
        <v>32</v>
      </c>
      <c r="J158" s="7">
        <v>20.8</v>
      </c>
      <c r="K158" s="6" t="s">
        <v>33</v>
      </c>
      <c r="L158" s="7">
        <v>43.88</v>
      </c>
      <c r="M158" s="6" t="s">
        <v>34</v>
      </c>
      <c r="N158" s="7">
        <v>3.1</v>
      </c>
    </row>
    <row r="159" spans="1:14" x14ac:dyDescent="0.25">
      <c r="A159" s="6" t="s">
        <v>361</v>
      </c>
      <c r="B159" s="6" t="str">
        <f t="shared" si="2"/>
        <v>NA1910</v>
      </c>
      <c r="C159" s="6" t="s">
        <v>362</v>
      </c>
      <c r="D159" s="6" t="s">
        <v>12</v>
      </c>
      <c r="E159" s="6" t="s">
        <v>13</v>
      </c>
      <c r="F159" s="6" t="s">
        <v>13</v>
      </c>
      <c r="G159" s="6" t="s">
        <v>96</v>
      </c>
      <c r="H159" s="7">
        <v>77.28</v>
      </c>
      <c r="I159" s="6"/>
      <c r="J159" s="6"/>
      <c r="K159" s="6"/>
      <c r="L159" s="6"/>
      <c r="M159" s="6" t="s">
        <v>89</v>
      </c>
      <c r="N159" s="7">
        <v>2.72</v>
      </c>
    </row>
    <row r="160" spans="1:14" x14ac:dyDescent="0.25">
      <c r="A160" s="6" t="s">
        <v>363</v>
      </c>
      <c r="B160" s="6" t="str">
        <f t="shared" si="2"/>
        <v>FM1450</v>
      </c>
      <c r="C160" s="6" t="s">
        <v>364</v>
      </c>
      <c r="D160" s="6" t="s">
        <v>12</v>
      </c>
      <c r="E160" s="6" t="s">
        <v>13</v>
      </c>
      <c r="F160" s="6" t="s">
        <v>13</v>
      </c>
      <c r="G160" s="6" t="s">
        <v>365</v>
      </c>
      <c r="H160" s="7">
        <v>38.450000000000003</v>
      </c>
      <c r="I160" s="6" t="s">
        <v>366</v>
      </c>
      <c r="J160" s="7">
        <v>16.7</v>
      </c>
      <c r="K160" s="6"/>
      <c r="L160" s="6"/>
      <c r="M160" s="6"/>
      <c r="N160" s="6"/>
    </row>
    <row r="161" spans="1:14" x14ac:dyDescent="0.25">
      <c r="A161" s="6" t="s">
        <v>367</v>
      </c>
      <c r="B161" s="6" t="str">
        <f t="shared" si="2"/>
        <v>PM1320</v>
      </c>
      <c r="C161" s="6" t="s">
        <v>368</v>
      </c>
      <c r="D161" s="6" t="s">
        <v>12</v>
      </c>
      <c r="E161" s="6" t="s">
        <v>13</v>
      </c>
      <c r="F161" s="6" t="s">
        <v>13</v>
      </c>
      <c r="G161" s="6" t="s">
        <v>229</v>
      </c>
      <c r="H161" s="7">
        <v>14.07</v>
      </c>
      <c r="I161" s="6" t="s">
        <v>230</v>
      </c>
      <c r="J161" s="7">
        <v>35.5</v>
      </c>
      <c r="K161" s="6"/>
      <c r="L161" s="6"/>
      <c r="M161" s="6" t="s">
        <v>231</v>
      </c>
      <c r="N161" s="7">
        <v>4.8600000000000003</v>
      </c>
    </row>
    <row r="162" spans="1:14" x14ac:dyDescent="0.25">
      <c r="A162" s="6" t="s">
        <v>369</v>
      </c>
      <c r="B162" s="6" t="str">
        <f t="shared" si="2"/>
        <v>NA2800</v>
      </c>
      <c r="C162" s="6" t="s">
        <v>370</v>
      </c>
      <c r="D162" s="6" t="s">
        <v>12</v>
      </c>
      <c r="E162" s="6" t="s">
        <v>13</v>
      </c>
      <c r="F162" s="6" t="s">
        <v>13</v>
      </c>
      <c r="G162" s="6" t="s">
        <v>96</v>
      </c>
      <c r="H162" s="7">
        <v>62.51</v>
      </c>
      <c r="I162" s="6"/>
      <c r="J162" s="6"/>
      <c r="K162" s="6"/>
      <c r="L162" s="6"/>
      <c r="M162" s="6" t="s">
        <v>89</v>
      </c>
      <c r="N162" s="7">
        <v>2.2000000000000002</v>
      </c>
    </row>
    <row r="163" spans="1:14" x14ac:dyDescent="0.25">
      <c r="A163" s="6" t="s">
        <v>371</v>
      </c>
      <c r="B163" s="6" t="str">
        <f t="shared" si="2"/>
        <v>TA2632</v>
      </c>
      <c r="C163" s="6" t="s">
        <v>372</v>
      </c>
      <c r="D163" s="6" t="s">
        <v>12</v>
      </c>
      <c r="E163" s="6" t="s">
        <v>13</v>
      </c>
      <c r="F163" s="6" t="s">
        <v>13</v>
      </c>
      <c r="G163" s="6" t="s">
        <v>88</v>
      </c>
      <c r="H163" s="7">
        <v>84.31</v>
      </c>
      <c r="I163" s="6"/>
      <c r="J163" s="6"/>
      <c r="K163" s="6"/>
      <c r="L163" s="6"/>
      <c r="M163" s="6" t="s">
        <v>89</v>
      </c>
      <c r="N163" s="7">
        <v>2.41</v>
      </c>
    </row>
    <row r="164" spans="1:14" x14ac:dyDescent="0.25">
      <c r="A164" s="6" t="s">
        <v>373</v>
      </c>
      <c r="B164" s="6" t="str">
        <f t="shared" si="2"/>
        <v>TA2633</v>
      </c>
      <c r="C164" s="6" t="s">
        <v>374</v>
      </c>
      <c r="D164" s="6" t="s">
        <v>12</v>
      </c>
      <c r="E164" s="6" t="s">
        <v>13</v>
      </c>
      <c r="F164" s="6" t="s">
        <v>13</v>
      </c>
      <c r="G164" s="6" t="s">
        <v>88</v>
      </c>
      <c r="H164" s="7">
        <v>120</v>
      </c>
      <c r="I164" s="6"/>
      <c r="J164" s="6"/>
      <c r="K164" s="6"/>
      <c r="L164" s="6"/>
      <c r="M164" s="6" t="s">
        <v>97</v>
      </c>
      <c r="N164" s="7">
        <v>3.76</v>
      </c>
    </row>
    <row r="165" spans="1:14" x14ac:dyDescent="0.25">
      <c r="A165" s="6" t="s">
        <v>375</v>
      </c>
      <c r="B165" s="6" t="str">
        <f t="shared" si="2"/>
        <v>TA2730</v>
      </c>
      <c r="C165" s="6" t="s">
        <v>376</v>
      </c>
      <c r="D165" s="6" t="s">
        <v>12</v>
      </c>
      <c r="E165" s="6" t="s">
        <v>13</v>
      </c>
      <c r="F165" s="6" t="s">
        <v>13</v>
      </c>
      <c r="G165" s="6" t="s">
        <v>31</v>
      </c>
      <c r="H165" s="7">
        <v>45.33</v>
      </c>
      <c r="I165" s="6" t="s">
        <v>32</v>
      </c>
      <c r="J165" s="7">
        <v>27.26</v>
      </c>
      <c r="K165" s="6" t="s">
        <v>33</v>
      </c>
      <c r="L165" s="7">
        <v>57.52</v>
      </c>
      <c r="M165" s="6" t="s">
        <v>34</v>
      </c>
      <c r="N165" s="7">
        <v>4.0599999999999996</v>
      </c>
    </row>
    <row r="166" spans="1:14" x14ac:dyDescent="0.25">
      <c r="A166" s="6" t="s">
        <v>377</v>
      </c>
      <c r="B166" s="6" t="str">
        <f t="shared" si="2"/>
        <v>TA2690</v>
      </c>
      <c r="C166" s="6" t="s">
        <v>378</v>
      </c>
      <c r="D166" s="6" t="s">
        <v>12</v>
      </c>
      <c r="E166" s="6" t="s">
        <v>13</v>
      </c>
      <c r="F166" s="6" t="s">
        <v>13</v>
      </c>
      <c r="G166" s="6" t="s">
        <v>88</v>
      </c>
      <c r="H166" s="7">
        <v>184.96</v>
      </c>
      <c r="I166" s="6"/>
      <c r="J166" s="6"/>
      <c r="K166" s="6"/>
      <c r="L166" s="6"/>
      <c r="M166" s="6" t="s">
        <v>89</v>
      </c>
      <c r="N166" s="7">
        <v>4.97</v>
      </c>
    </row>
    <row r="167" spans="1:14" x14ac:dyDescent="0.25">
      <c r="A167" s="6" t="s">
        <v>379</v>
      </c>
      <c r="B167" s="6" t="str">
        <f t="shared" si="2"/>
        <v>TA2712</v>
      </c>
      <c r="C167" s="6" t="s">
        <v>380</v>
      </c>
      <c r="D167" s="6" t="s">
        <v>12</v>
      </c>
      <c r="E167" s="6" t="s">
        <v>13</v>
      </c>
      <c r="F167" s="6" t="s">
        <v>13</v>
      </c>
      <c r="G167" s="6" t="s">
        <v>88</v>
      </c>
      <c r="H167" s="7">
        <v>160.94999999999999</v>
      </c>
      <c r="I167" s="6"/>
      <c r="J167" s="6"/>
      <c r="K167" s="6"/>
      <c r="L167" s="6"/>
      <c r="M167" s="6" t="s">
        <v>89</v>
      </c>
      <c r="N167" s="7">
        <v>4.34</v>
      </c>
    </row>
    <row r="168" spans="1:14" x14ac:dyDescent="0.25">
      <c r="A168" s="6" t="s">
        <v>381</v>
      </c>
      <c r="B168" s="6" t="str">
        <f t="shared" si="2"/>
        <v>TA2711</v>
      </c>
      <c r="C168" s="6" t="s">
        <v>382</v>
      </c>
      <c r="D168" s="6" t="s">
        <v>12</v>
      </c>
      <c r="E168" s="6" t="s">
        <v>13</v>
      </c>
      <c r="F168" s="6" t="s">
        <v>13</v>
      </c>
      <c r="G168" s="6" t="s">
        <v>88</v>
      </c>
      <c r="H168" s="7">
        <v>214.49</v>
      </c>
      <c r="I168" s="6"/>
      <c r="J168" s="6"/>
      <c r="K168" s="6"/>
      <c r="L168" s="6"/>
      <c r="M168" s="6" t="s">
        <v>89</v>
      </c>
      <c r="N168" s="7">
        <v>5.78</v>
      </c>
    </row>
    <row r="169" spans="1:14" x14ac:dyDescent="0.25">
      <c r="A169" s="6" t="s">
        <v>383</v>
      </c>
      <c r="B169" s="6" t="str">
        <f t="shared" si="2"/>
        <v>PM1310</v>
      </c>
      <c r="C169" s="6" t="s">
        <v>384</v>
      </c>
      <c r="D169" s="6" t="s">
        <v>12</v>
      </c>
      <c r="E169" s="6" t="s">
        <v>13</v>
      </c>
      <c r="F169" s="6" t="s">
        <v>13</v>
      </c>
      <c r="G169" s="6" t="s">
        <v>229</v>
      </c>
      <c r="H169" s="7">
        <v>23.89</v>
      </c>
      <c r="I169" s="6" t="s">
        <v>230</v>
      </c>
      <c r="J169" s="7">
        <v>44.03</v>
      </c>
      <c r="K169" s="6"/>
      <c r="L169" s="6"/>
      <c r="M169" s="6" t="s">
        <v>28</v>
      </c>
      <c r="N169" s="7">
        <v>6.26</v>
      </c>
    </row>
    <row r="170" spans="1:14" x14ac:dyDescent="0.25">
      <c r="A170" s="6" t="s">
        <v>385</v>
      </c>
      <c r="B170" s="6" t="str">
        <f t="shared" si="2"/>
        <v>PM1330</v>
      </c>
      <c r="C170" s="6" t="s">
        <v>386</v>
      </c>
      <c r="D170" s="6" t="s">
        <v>12</v>
      </c>
      <c r="E170" s="6" t="s">
        <v>13</v>
      </c>
      <c r="F170" s="6" t="s">
        <v>13</v>
      </c>
      <c r="G170" s="6" t="s">
        <v>96</v>
      </c>
      <c r="H170" s="7">
        <v>86.31</v>
      </c>
      <c r="I170" s="6"/>
      <c r="J170" s="6"/>
      <c r="K170" s="6"/>
      <c r="L170" s="6"/>
      <c r="M170" s="6"/>
      <c r="N170" s="6"/>
    </row>
    <row r="171" spans="1:14" x14ac:dyDescent="0.25">
      <c r="A171" s="6" t="s">
        <v>387</v>
      </c>
      <c r="B171" s="6" t="str">
        <f t="shared" si="2"/>
        <v>TA0330</v>
      </c>
      <c r="C171" s="6" t="s">
        <v>388</v>
      </c>
      <c r="D171" s="6" t="s">
        <v>12</v>
      </c>
      <c r="E171" s="6" t="s">
        <v>13</v>
      </c>
      <c r="F171" s="6" t="s">
        <v>13</v>
      </c>
      <c r="G171" s="6" t="s">
        <v>31</v>
      </c>
      <c r="H171" s="7">
        <v>12.88</v>
      </c>
      <c r="I171" s="6" t="s">
        <v>32</v>
      </c>
      <c r="J171" s="7">
        <v>10.53</v>
      </c>
      <c r="K171" s="6" t="s">
        <v>33</v>
      </c>
      <c r="L171" s="7">
        <v>28.73</v>
      </c>
      <c r="M171" s="6" t="s">
        <v>34</v>
      </c>
      <c r="N171" s="7">
        <v>1.28</v>
      </c>
    </row>
    <row r="172" spans="1:14" x14ac:dyDescent="0.25">
      <c r="A172" s="6" t="s">
        <v>389</v>
      </c>
      <c r="B172" s="6" t="str">
        <f t="shared" si="2"/>
        <v>HN0580</v>
      </c>
      <c r="C172" s="6" t="s">
        <v>390</v>
      </c>
      <c r="D172" s="6" t="s">
        <v>12</v>
      </c>
      <c r="E172" s="6" t="s">
        <v>13</v>
      </c>
      <c r="F172" s="6" t="s">
        <v>13</v>
      </c>
      <c r="G172" s="6" t="s">
        <v>229</v>
      </c>
      <c r="H172" s="7">
        <v>320.89999999999998</v>
      </c>
      <c r="I172" s="6" t="s">
        <v>230</v>
      </c>
      <c r="J172" s="7">
        <v>738.08</v>
      </c>
      <c r="K172" s="6"/>
      <c r="L172" s="6"/>
      <c r="M172" s="6" t="s">
        <v>28</v>
      </c>
      <c r="N172" s="7">
        <v>31.02</v>
      </c>
    </row>
    <row r="173" spans="1:14" x14ac:dyDescent="0.25">
      <c r="A173" s="6" t="s">
        <v>391</v>
      </c>
      <c r="B173" s="6" t="str">
        <f t="shared" si="2"/>
        <v>PM1370</v>
      </c>
      <c r="C173" s="6" t="s">
        <v>392</v>
      </c>
      <c r="D173" s="6" t="s">
        <v>12</v>
      </c>
      <c r="E173" s="6" t="s">
        <v>13</v>
      </c>
      <c r="F173" s="6" t="s">
        <v>13</v>
      </c>
      <c r="G173" s="6" t="s">
        <v>229</v>
      </c>
      <c r="H173" s="7">
        <v>11</v>
      </c>
      <c r="I173" s="6" t="s">
        <v>230</v>
      </c>
      <c r="J173" s="7">
        <v>72.8</v>
      </c>
      <c r="K173" s="6"/>
      <c r="L173" s="6"/>
      <c r="M173" s="6" t="s">
        <v>28</v>
      </c>
      <c r="N173" s="7">
        <v>7.2</v>
      </c>
    </row>
    <row r="174" spans="1:14" x14ac:dyDescent="0.25">
      <c r="A174" s="6" t="s">
        <v>393</v>
      </c>
      <c r="B174" s="6" t="str">
        <f t="shared" si="2"/>
        <v>TA2580</v>
      </c>
      <c r="C174" s="6" t="s">
        <v>394</v>
      </c>
      <c r="D174" s="6" t="s">
        <v>12</v>
      </c>
      <c r="E174" s="6" t="s">
        <v>13</v>
      </c>
      <c r="F174" s="6" t="s">
        <v>13</v>
      </c>
      <c r="G174" s="6" t="s">
        <v>25</v>
      </c>
      <c r="H174" s="7">
        <v>21.46</v>
      </c>
      <c r="I174" s="6" t="s">
        <v>26</v>
      </c>
      <c r="J174" s="7">
        <v>19.39</v>
      </c>
      <c r="K174" s="6" t="s">
        <v>27</v>
      </c>
      <c r="L174" s="7">
        <v>42.78</v>
      </c>
      <c r="M174" s="6" t="s">
        <v>28</v>
      </c>
      <c r="N174" s="7">
        <v>4.2</v>
      </c>
    </row>
    <row r="175" spans="1:14" x14ac:dyDescent="0.25">
      <c r="A175" s="6" t="s">
        <v>395</v>
      </c>
      <c r="B175" s="6" t="str">
        <f t="shared" si="2"/>
        <v>NA3060</v>
      </c>
      <c r="C175" s="6" t="s">
        <v>396</v>
      </c>
      <c r="D175" s="6" t="s">
        <v>12</v>
      </c>
      <c r="E175" s="6" t="s">
        <v>13</v>
      </c>
      <c r="F175" s="6" t="s">
        <v>13</v>
      </c>
      <c r="G175" s="6" t="s">
        <v>96</v>
      </c>
      <c r="H175" s="7">
        <v>93.87</v>
      </c>
      <c r="I175" s="6"/>
      <c r="J175" s="6"/>
      <c r="K175" s="6"/>
      <c r="L175" s="6"/>
      <c r="M175" s="6" t="s">
        <v>89</v>
      </c>
      <c r="N175" s="7">
        <v>3.3</v>
      </c>
    </row>
    <row r="176" spans="1:14" x14ac:dyDescent="0.25">
      <c r="A176" s="6" t="s">
        <v>397</v>
      </c>
      <c r="B176" s="6" t="str">
        <f t="shared" si="2"/>
        <v>NA3070</v>
      </c>
      <c r="C176" s="6" t="s">
        <v>398</v>
      </c>
      <c r="D176" s="6" t="s">
        <v>12</v>
      </c>
      <c r="E176" s="6" t="s">
        <v>13</v>
      </c>
      <c r="F176" s="6" t="s">
        <v>13</v>
      </c>
      <c r="G176" s="6" t="s">
        <v>96</v>
      </c>
      <c r="H176" s="7">
        <v>136.38</v>
      </c>
      <c r="I176" s="6"/>
      <c r="J176" s="6"/>
      <c r="K176" s="6"/>
      <c r="L176" s="6"/>
      <c r="M176" s="6" t="s">
        <v>89</v>
      </c>
      <c r="N176" s="7">
        <v>4.8</v>
      </c>
    </row>
    <row r="177" spans="1:14" x14ac:dyDescent="0.25">
      <c r="A177" s="6" t="s">
        <v>399</v>
      </c>
      <c r="B177" s="6" t="str">
        <f t="shared" si="2"/>
        <v>NA1900</v>
      </c>
      <c r="C177" s="6" t="s">
        <v>400</v>
      </c>
      <c r="D177" s="6" t="s">
        <v>12</v>
      </c>
      <c r="E177" s="6" t="s">
        <v>13</v>
      </c>
      <c r="F177" s="6" t="s">
        <v>13</v>
      </c>
      <c r="G177" s="6" t="s">
        <v>96</v>
      </c>
      <c r="H177" s="7">
        <v>101.15</v>
      </c>
      <c r="I177" s="6"/>
      <c r="J177" s="6"/>
      <c r="K177" s="6"/>
      <c r="L177" s="6"/>
      <c r="M177" s="6" t="s">
        <v>89</v>
      </c>
      <c r="N177" s="7">
        <v>3.56</v>
      </c>
    </row>
    <row r="178" spans="1:14" x14ac:dyDescent="0.25">
      <c r="A178" s="6" t="s">
        <v>401</v>
      </c>
      <c r="B178" s="6" t="str">
        <f t="shared" si="2"/>
        <v>NA1920</v>
      </c>
      <c r="C178" s="6" t="s">
        <v>402</v>
      </c>
      <c r="D178" s="6" t="s">
        <v>12</v>
      </c>
      <c r="E178" s="6" t="s">
        <v>13</v>
      </c>
      <c r="F178" s="6" t="s">
        <v>13</v>
      </c>
      <c r="G178" s="6" t="s">
        <v>96</v>
      </c>
      <c r="H178" s="7">
        <v>93.2</v>
      </c>
      <c r="I178" s="6"/>
      <c r="J178" s="6"/>
      <c r="K178" s="6"/>
      <c r="L178" s="6"/>
      <c r="M178" s="6" t="s">
        <v>89</v>
      </c>
      <c r="N178" s="7">
        <v>3.28</v>
      </c>
    </row>
    <row r="179" spans="1:14" x14ac:dyDescent="0.25">
      <c r="A179" s="6" t="s">
        <v>403</v>
      </c>
      <c r="B179" s="6" t="str">
        <f t="shared" si="2"/>
        <v>NA3080</v>
      </c>
      <c r="C179" s="6" t="s">
        <v>404</v>
      </c>
      <c r="D179" s="6" t="s">
        <v>12</v>
      </c>
      <c r="E179" s="6" t="s">
        <v>13</v>
      </c>
      <c r="F179" s="6" t="s">
        <v>13</v>
      </c>
      <c r="G179" s="6" t="s">
        <v>96</v>
      </c>
      <c r="H179" s="7">
        <v>288.45999999999998</v>
      </c>
      <c r="I179" s="6"/>
      <c r="J179" s="6"/>
      <c r="K179" s="6"/>
      <c r="L179" s="6"/>
      <c r="M179" s="6" t="s">
        <v>97</v>
      </c>
      <c r="N179" s="7">
        <v>12</v>
      </c>
    </row>
    <row r="180" spans="1:14" x14ac:dyDescent="0.25">
      <c r="A180" s="6" t="s">
        <v>405</v>
      </c>
      <c r="B180" s="6" t="str">
        <f t="shared" si="2"/>
        <v>NA3090</v>
      </c>
      <c r="C180" s="6" t="s">
        <v>406</v>
      </c>
      <c r="D180" s="6" t="s">
        <v>12</v>
      </c>
      <c r="E180" s="6" t="s">
        <v>13</v>
      </c>
      <c r="F180" s="6" t="s">
        <v>13</v>
      </c>
      <c r="G180" s="6" t="s">
        <v>96</v>
      </c>
      <c r="H180" s="7">
        <v>89.33</v>
      </c>
      <c r="I180" s="6"/>
      <c r="J180" s="6"/>
      <c r="K180" s="6"/>
      <c r="L180" s="6"/>
      <c r="M180" s="6" t="s">
        <v>89</v>
      </c>
      <c r="N180" s="7">
        <v>3.14</v>
      </c>
    </row>
    <row r="181" spans="1:14" x14ac:dyDescent="0.25">
      <c r="A181" s="6" t="s">
        <v>407</v>
      </c>
      <c r="B181" s="6" t="str">
        <f t="shared" si="2"/>
        <v>TA3010</v>
      </c>
      <c r="C181" s="6" t="s">
        <v>408</v>
      </c>
      <c r="D181" s="6" t="s">
        <v>12</v>
      </c>
      <c r="E181" s="6" t="s">
        <v>13</v>
      </c>
      <c r="F181" s="6" t="s">
        <v>13</v>
      </c>
      <c r="G181" s="6" t="s">
        <v>96</v>
      </c>
      <c r="H181" s="7">
        <v>170</v>
      </c>
      <c r="I181" s="6"/>
      <c r="J181" s="6"/>
      <c r="K181" s="6"/>
      <c r="L181" s="6"/>
      <c r="M181" s="6" t="s">
        <v>97</v>
      </c>
      <c r="N181" s="7">
        <v>4</v>
      </c>
    </row>
    <row r="182" spans="1:14" x14ac:dyDescent="0.25">
      <c r="A182" s="6" t="s">
        <v>409</v>
      </c>
      <c r="B182" s="6" t="str">
        <f t="shared" si="2"/>
        <v>PM1280</v>
      </c>
      <c r="C182" s="6" t="s">
        <v>410</v>
      </c>
      <c r="D182" s="6" t="s">
        <v>12</v>
      </c>
      <c r="E182" s="6" t="s">
        <v>13</v>
      </c>
      <c r="F182" s="6" t="s">
        <v>13</v>
      </c>
      <c r="G182" s="6" t="s">
        <v>96</v>
      </c>
      <c r="H182" s="7">
        <v>151.34</v>
      </c>
      <c r="I182" s="6" t="s">
        <v>96</v>
      </c>
      <c r="J182" s="7">
        <v>171.95</v>
      </c>
      <c r="K182" s="6"/>
      <c r="L182" s="6"/>
      <c r="M182" s="6" t="s">
        <v>89</v>
      </c>
      <c r="N182" s="7">
        <v>9.41</v>
      </c>
    </row>
    <row r="183" spans="1:14" x14ac:dyDescent="0.25">
      <c r="A183" s="6" t="s">
        <v>411</v>
      </c>
      <c r="B183" s="6" t="str">
        <f t="shared" si="2"/>
        <v>NA1870</v>
      </c>
      <c r="C183" s="6" t="s">
        <v>412</v>
      </c>
      <c r="D183" s="6" t="s">
        <v>12</v>
      </c>
      <c r="E183" s="6" t="s">
        <v>13</v>
      </c>
      <c r="F183" s="6" t="s">
        <v>13</v>
      </c>
      <c r="G183" s="6" t="s">
        <v>96</v>
      </c>
      <c r="H183" s="7">
        <v>181.84</v>
      </c>
      <c r="I183" s="6"/>
      <c r="J183" s="6"/>
      <c r="K183" s="6"/>
      <c r="L183" s="6"/>
      <c r="M183" s="6" t="s">
        <v>89</v>
      </c>
      <c r="N183" s="7">
        <v>6.4</v>
      </c>
    </row>
    <row r="184" spans="1:14" x14ac:dyDescent="0.25">
      <c r="A184" s="6" t="s">
        <v>413</v>
      </c>
      <c r="B184" s="6" t="str">
        <f t="shared" si="2"/>
        <v>NA1880</v>
      </c>
      <c r="C184" s="6" t="s">
        <v>414</v>
      </c>
      <c r="D184" s="6" t="s">
        <v>12</v>
      </c>
      <c r="E184" s="6" t="s">
        <v>13</v>
      </c>
      <c r="F184" s="6" t="s">
        <v>13</v>
      </c>
      <c r="G184" s="6" t="s">
        <v>96</v>
      </c>
      <c r="H184" s="7">
        <v>79.56</v>
      </c>
      <c r="I184" s="6"/>
      <c r="J184" s="6"/>
      <c r="K184" s="6"/>
      <c r="L184" s="6"/>
      <c r="M184" s="6" t="s">
        <v>89</v>
      </c>
      <c r="N184" s="7">
        <v>2.8</v>
      </c>
    </row>
    <row r="185" spans="1:14" x14ac:dyDescent="0.25">
      <c r="A185" s="6" t="s">
        <v>415</v>
      </c>
      <c r="B185" s="6" t="str">
        <f t="shared" si="2"/>
        <v>PM1230</v>
      </c>
      <c r="C185" s="6" t="s">
        <v>416</v>
      </c>
      <c r="D185" s="6" t="s">
        <v>12</v>
      </c>
      <c r="E185" s="6" t="s">
        <v>13</v>
      </c>
      <c r="F185" s="6" t="s">
        <v>13</v>
      </c>
      <c r="G185" s="6" t="s">
        <v>88</v>
      </c>
      <c r="H185" s="7">
        <v>129.81</v>
      </c>
      <c r="I185" s="6" t="s">
        <v>88</v>
      </c>
      <c r="J185" s="7">
        <v>147.49</v>
      </c>
      <c r="K185" s="6"/>
      <c r="L185" s="6"/>
      <c r="M185" s="6" t="s">
        <v>97</v>
      </c>
      <c r="N185" s="7">
        <v>8.07</v>
      </c>
    </row>
    <row r="186" spans="1:14" x14ac:dyDescent="0.25">
      <c r="A186" s="6" t="s">
        <v>417</v>
      </c>
      <c r="B186" s="6" t="str">
        <f t="shared" si="2"/>
        <v>NA2031</v>
      </c>
      <c r="C186" s="6" t="s">
        <v>418</v>
      </c>
      <c r="D186" s="6" t="s">
        <v>12</v>
      </c>
      <c r="E186" s="6" t="s">
        <v>13</v>
      </c>
      <c r="F186" s="6" t="s">
        <v>13</v>
      </c>
      <c r="G186" s="6" t="s">
        <v>25</v>
      </c>
      <c r="H186" s="7">
        <v>2.5499999999999998</v>
      </c>
      <c r="I186" s="6" t="s">
        <v>26</v>
      </c>
      <c r="J186" s="7">
        <v>3.89</v>
      </c>
      <c r="K186" s="6" t="s">
        <v>27</v>
      </c>
      <c r="L186" s="7">
        <v>4.6500000000000004</v>
      </c>
      <c r="M186" s="6" t="s">
        <v>231</v>
      </c>
      <c r="N186" s="7">
        <v>0.35</v>
      </c>
    </row>
    <row r="187" spans="1:14" x14ac:dyDescent="0.25">
      <c r="A187" s="6" t="s">
        <v>419</v>
      </c>
      <c r="B187" s="6" t="str">
        <f t="shared" si="2"/>
        <v>PM1410</v>
      </c>
      <c r="C187" s="6" t="s">
        <v>420</v>
      </c>
      <c r="D187" s="6" t="s">
        <v>12</v>
      </c>
      <c r="E187" s="6" t="s">
        <v>13</v>
      </c>
      <c r="F187" s="6" t="s">
        <v>13</v>
      </c>
      <c r="G187" s="6" t="s">
        <v>229</v>
      </c>
      <c r="H187" s="7">
        <v>10.4</v>
      </c>
      <c r="I187" s="6" t="s">
        <v>230</v>
      </c>
      <c r="J187" s="7">
        <v>46.8</v>
      </c>
      <c r="K187" s="6"/>
      <c r="L187" s="6"/>
      <c r="M187" s="6" t="s">
        <v>28</v>
      </c>
      <c r="N187" s="7">
        <v>2.8</v>
      </c>
    </row>
    <row r="188" spans="1:14" x14ac:dyDescent="0.25">
      <c r="A188" s="6" t="s">
        <v>421</v>
      </c>
      <c r="B188" s="6" t="str">
        <f t="shared" si="2"/>
        <v>NA2780</v>
      </c>
      <c r="C188" s="6" t="s">
        <v>422</v>
      </c>
      <c r="D188" s="6" t="s">
        <v>12</v>
      </c>
      <c r="E188" s="6" t="s">
        <v>13</v>
      </c>
      <c r="F188" s="6" t="s">
        <v>13</v>
      </c>
      <c r="G188" s="6" t="s">
        <v>85</v>
      </c>
      <c r="H188" s="7">
        <v>83.2</v>
      </c>
      <c r="I188" s="6" t="s">
        <v>44</v>
      </c>
      <c r="J188" s="7">
        <v>18.07</v>
      </c>
      <c r="K188" s="6"/>
      <c r="L188" s="6"/>
      <c r="M188" s="6"/>
      <c r="N188" s="6"/>
    </row>
    <row r="189" spans="1:14" x14ac:dyDescent="0.25">
      <c r="A189" s="6" t="s">
        <v>423</v>
      </c>
      <c r="B189" s="6" t="str">
        <f t="shared" si="2"/>
        <v>NA2750</v>
      </c>
      <c r="C189" s="6" t="s">
        <v>424</v>
      </c>
      <c r="D189" s="6" t="s">
        <v>12</v>
      </c>
      <c r="E189" s="6" t="s">
        <v>13</v>
      </c>
      <c r="F189" s="6" t="s">
        <v>13</v>
      </c>
      <c r="G189" s="6" t="s">
        <v>96</v>
      </c>
      <c r="H189" s="7">
        <v>81.67</v>
      </c>
      <c r="I189" s="6"/>
      <c r="J189" s="6"/>
      <c r="K189" s="6"/>
      <c r="L189" s="6"/>
      <c r="M189" s="6" t="s">
        <v>89</v>
      </c>
      <c r="N189" s="7">
        <v>2.68</v>
      </c>
    </row>
    <row r="190" spans="1:14" x14ac:dyDescent="0.25">
      <c r="A190" s="6" t="s">
        <v>425</v>
      </c>
      <c r="B190" s="6" t="str">
        <f t="shared" si="2"/>
        <v>PM1240</v>
      </c>
      <c r="C190" s="6" t="s">
        <v>426</v>
      </c>
      <c r="D190" s="6" t="s">
        <v>12</v>
      </c>
      <c r="E190" s="6" t="s">
        <v>13</v>
      </c>
      <c r="F190" s="6" t="s">
        <v>13</v>
      </c>
      <c r="G190" s="6" t="s">
        <v>229</v>
      </c>
      <c r="H190" s="7">
        <v>35.299999999999997</v>
      </c>
      <c r="I190" s="6" t="s">
        <v>230</v>
      </c>
      <c r="J190" s="7">
        <v>67.81</v>
      </c>
      <c r="K190" s="6"/>
      <c r="L190" s="6"/>
      <c r="M190" s="6" t="s">
        <v>28</v>
      </c>
      <c r="N190" s="7">
        <v>1.57</v>
      </c>
    </row>
    <row r="191" spans="1:14" x14ac:dyDescent="0.25">
      <c r="A191" s="6" t="s">
        <v>427</v>
      </c>
      <c r="B191" s="6" t="str">
        <f t="shared" si="2"/>
        <v>PM1340</v>
      </c>
      <c r="C191" s="6" t="s">
        <v>428</v>
      </c>
      <c r="D191" s="6" t="s">
        <v>12</v>
      </c>
      <c r="E191" s="6" t="s">
        <v>13</v>
      </c>
      <c r="F191" s="6" t="s">
        <v>13</v>
      </c>
      <c r="G191" s="6" t="s">
        <v>96</v>
      </c>
      <c r="H191" s="7">
        <v>99.44</v>
      </c>
      <c r="I191" s="6"/>
      <c r="J191" s="6"/>
      <c r="K191" s="6"/>
      <c r="L191" s="6"/>
      <c r="M191" s="6" t="s">
        <v>89</v>
      </c>
      <c r="N191" s="7">
        <v>1.88</v>
      </c>
    </row>
    <row r="192" spans="1:14" x14ac:dyDescent="0.25">
      <c r="A192" s="6" t="s">
        <v>429</v>
      </c>
      <c r="B192" s="6" t="str">
        <f t="shared" si="2"/>
        <v>TA2610</v>
      </c>
      <c r="C192" s="6" t="s">
        <v>430</v>
      </c>
      <c r="D192" s="6" t="s">
        <v>12</v>
      </c>
      <c r="E192" s="6" t="s">
        <v>13</v>
      </c>
      <c r="F192" s="6" t="s">
        <v>13</v>
      </c>
      <c r="G192" s="6" t="s">
        <v>31</v>
      </c>
      <c r="H192" s="7">
        <v>7.77</v>
      </c>
      <c r="I192" s="6" t="s">
        <v>32</v>
      </c>
      <c r="J192" s="7">
        <v>6.68</v>
      </c>
      <c r="K192" s="6" t="s">
        <v>33</v>
      </c>
      <c r="L192" s="7">
        <v>17.28</v>
      </c>
      <c r="M192" s="6" t="s">
        <v>34</v>
      </c>
      <c r="N192" s="7">
        <v>0.84</v>
      </c>
    </row>
    <row r="193" spans="1:14" x14ac:dyDescent="0.25">
      <c r="A193" s="6" t="s">
        <v>431</v>
      </c>
      <c r="B193" s="6" t="str">
        <f t="shared" si="2"/>
        <v>TA0681</v>
      </c>
      <c r="C193" s="6" t="s">
        <v>432</v>
      </c>
      <c r="D193" s="6" t="s">
        <v>12</v>
      </c>
      <c r="E193" s="6" t="s">
        <v>13</v>
      </c>
      <c r="F193" s="6" t="s">
        <v>13</v>
      </c>
      <c r="G193" s="6" t="s">
        <v>43</v>
      </c>
      <c r="H193" s="7">
        <v>63.28</v>
      </c>
      <c r="I193" s="6" t="s">
        <v>183</v>
      </c>
      <c r="J193" s="7">
        <v>16.72</v>
      </c>
      <c r="K193" s="6"/>
      <c r="L193" s="6"/>
      <c r="M193" s="6"/>
      <c r="N193" s="6"/>
    </row>
    <row r="194" spans="1:14" x14ac:dyDescent="0.25">
      <c r="A194" s="6" t="s">
        <v>433</v>
      </c>
      <c r="B194" s="6" t="str">
        <f t="shared" ref="B194:B257" si="3">MID(A194,8,6)</f>
        <v>NA3120</v>
      </c>
      <c r="C194" s="6" t="s">
        <v>434</v>
      </c>
      <c r="D194" s="6" t="s">
        <v>12</v>
      </c>
      <c r="E194" s="6" t="s">
        <v>13</v>
      </c>
      <c r="F194" s="6" t="s">
        <v>13</v>
      </c>
      <c r="G194" s="6" t="s">
        <v>96</v>
      </c>
      <c r="H194" s="7">
        <v>93.87</v>
      </c>
      <c r="I194" s="6"/>
      <c r="J194" s="6"/>
      <c r="K194" s="6"/>
      <c r="L194" s="6"/>
      <c r="M194" s="6" t="s">
        <v>89</v>
      </c>
      <c r="N194" s="7">
        <v>3.3</v>
      </c>
    </row>
    <row r="195" spans="1:14" x14ac:dyDescent="0.25">
      <c r="A195" s="6" t="s">
        <v>435</v>
      </c>
      <c r="B195" s="6" t="str">
        <f t="shared" si="3"/>
        <v>TA2721</v>
      </c>
      <c r="C195" s="6" t="s">
        <v>436</v>
      </c>
      <c r="D195" s="6" t="s">
        <v>12</v>
      </c>
      <c r="E195" s="6" t="s">
        <v>13</v>
      </c>
      <c r="F195" s="6" t="s">
        <v>13</v>
      </c>
      <c r="G195" s="6" t="s">
        <v>31</v>
      </c>
      <c r="H195" s="7">
        <v>14.96</v>
      </c>
      <c r="I195" s="6" t="s">
        <v>32</v>
      </c>
      <c r="J195" s="7">
        <v>9</v>
      </c>
      <c r="K195" s="6" t="s">
        <v>33</v>
      </c>
      <c r="L195" s="7">
        <v>18.98</v>
      </c>
      <c r="M195" s="6" t="s">
        <v>34</v>
      </c>
      <c r="N195" s="7">
        <v>1.34</v>
      </c>
    </row>
    <row r="196" spans="1:14" x14ac:dyDescent="0.25">
      <c r="A196" s="6" t="s">
        <v>437</v>
      </c>
      <c r="B196" s="6" t="str">
        <f t="shared" si="3"/>
        <v>TA2970</v>
      </c>
      <c r="C196" s="6" t="s">
        <v>438</v>
      </c>
      <c r="D196" s="6" t="s">
        <v>12</v>
      </c>
      <c r="E196" s="6" t="s">
        <v>13</v>
      </c>
      <c r="F196" s="6" t="s">
        <v>13</v>
      </c>
      <c r="G196" s="6" t="s">
        <v>439</v>
      </c>
      <c r="H196" s="7">
        <v>47.92</v>
      </c>
      <c r="I196" s="6"/>
      <c r="J196" s="6"/>
      <c r="K196" s="6"/>
      <c r="L196" s="6"/>
      <c r="M196" s="6" t="s">
        <v>34</v>
      </c>
      <c r="N196" s="7">
        <v>2.67</v>
      </c>
    </row>
    <row r="197" spans="1:14" x14ac:dyDescent="0.25">
      <c r="A197" s="6" t="s">
        <v>440</v>
      </c>
      <c r="B197" s="6" t="str">
        <f t="shared" si="3"/>
        <v>PM1190</v>
      </c>
      <c r="C197" s="6" t="s">
        <v>441</v>
      </c>
      <c r="D197" s="6" t="s">
        <v>12</v>
      </c>
      <c r="E197" s="6" t="s">
        <v>13</v>
      </c>
      <c r="F197" s="6" t="s">
        <v>13</v>
      </c>
      <c r="G197" s="6" t="s">
        <v>229</v>
      </c>
      <c r="H197" s="7">
        <v>7.7</v>
      </c>
      <c r="I197" s="6" t="s">
        <v>230</v>
      </c>
      <c r="J197" s="7">
        <v>50.96</v>
      </c>
      <c r="K197" s="6"/>
      <c r="L197" s="6"/>
      <c r="M197" s="6" t="s">
        <v>231</v>
      </c>
      <c r="N197" s="7">
        <v>3.01</v>
      </c>
    </row>
    <row r="198" spans="1:14" x14ac:dyDescent="0.25">
      <c r="A198" s="6" t="s">
        <v>442</v>
      </c>
      <c r="B198" s="6" t="str">
        <f t="shared" si="3"/>
        <v>PM1270</v>
      </c>
      <c r="C198" s="6" t="s">
        <v>443</v>
      </c>
      <c r="D198" s="6" t="s">
        <v>12</v>
      </c>
      <c r="E198" s="6" t="s">
        <v>13</v>
      </c>
      <c r="F198" s="6" t="s">
        <v>13</v>
      </c>
      <c r="G198" s="6" t="s">
        <v>88</v>
      </c>
      <c r="H198" s="7">
        <v>112.66</v>
      </c>
      <c r="I198" s="6" t="s">
        <v>88</v>
      </c>
      <c r="J198" s="7">
        <v>128</v>
      </c>
      <c r="K198" s="6"/>
      <c r="L198" s="6"/>
      <c r="M198" s="6" t="s">
        <v>97</v>
      </c>
      <c r="N198" s="7">
        <v>7</v>
      </c>
    </row>
    <row r="199" spans="1:14" x14ac:dyDescent="0.25">
      <c r="A199" s="6" t="s">
        <v>444</v>
      </c>
      <c r="B199" s="6" t="str">
        <f t="shared" si="3"/>
        <v>HN0530</v>
      </c>
      <c r="C199" s="6" t="s">
        <v>285</v>
      </c>
      <c r="D199" s="6" t="s">
        <v>12</v>
      </c>
      <c r="E199" s="6" t="s">
        <v>13</v>
      </c>
      <c r="F199" s="6" t="s">
        <v>13</v>
      </c>
      <c r="G199" s="6" t="s">
        <v>169</v>
      </c>
      <c r="H199" s="7">
        <v>23.4</v>
      </c>
      <c r="I199" s="6" t="s">
        <v>170</v>
      </c>
      <c r="J199" s="7">
        <v>13.78</v>
      </c>
      <c r="K199" s="6" t="s">
        <v>171</v>
      </c>
      <c r="L199" s="7">
        <v>49.74</v>
      </c>
      <c r="M199" s="6" t="s">
        <v>34</v>
      </c>
      <c r="N199" s="7">
        <v>2.02</v>
      </c>
    </row>
    <row r="200" spans="1:14" x14ac:dyDescent="0.25">
      <c r="A200" s="6" t="s">
        <v>445</v>
      </c>
      <c r="B200" s="6" t="str">
        <f t="shared" si="3"/>
        <v>NA2770</v>
      </c>
      <c r="C200" s="6" t="s">
        <v>446</v>
      </c>
      <c r="D200" s="6" t="s">
        <v>12</v>
      </c>
      <c r="E200" s="6" t="s">
        <v>13</v>
      </c>
      <c r="F200" s="6" t="s">
        <v>13</v>
      </c>
      <c r="G200" s="6" t="s">
        <v>96</v>
      </c>
      <c r="H200" s="7">
        <v>71.599999999999994</v>
      </c>
      <c r="I200" s="6"/>
      <c r="J200" s="6"/>
      <c r="K200" s="6"/>
      <c r="L200" s="6"/>
      <c r="M200" s="6" t="s">
        <v>89</v>
      </c>
      <c r="N200" s="7">
        <v>2.52</v>
      </c>
    </row>
    <row r="201" spans="1:14" x14ac:dyDescent="0.25">
      <c r="A201" s="6" t="s">
        <v>447</v>
      </c>
      <c r="B201" s="6" t="str">
        <f t="shared" si="3"/>
        <v>MS0230</v>
      </c>
      <c r="C201" s="6" t="s">
        <v>448</v>
      </c>
      <c r="D201" s="6" t="s">
        <v>12</v>
      </c>
      <c r="E201" s="6" t="s">
        <v>13</v>
      </c>
      <c r="F201" s="6" t="s">
        <v>13</v>
      </c>
      <c r="G201" s="6" t="s">
        <v>229</v>
      </c>
      <c r="H201" s="7">
        <v>5.48</v>
      </c>
      <c r="I201" s="6" t="s">
        <v>52</v>
      </c>
      <c r="J201" s="7">
        <v>12.22</v>
      </c>
      <c r="K201" s="6" t="s">
        <v>53</v>
      </c>
      <c r="L201" s="7">
        <v>11.81</v>
      </c>
      <c r="M201" s="6" t="s">
        <v>28</v>
      </c>
      <c r="N201" s="7">
        <v>0.04</v>
      </c>
    </row>
    <row r="202" spans="1:14" x14ac:dyDescent="0.25">
      <c r="A202" s="6" t="s">
        <v>449</v>
      </c>
      <c r="B202" s="6" t="str">
        <f t="shared" si="3"/>
        <v>TA2680</v>
      </c>
      <c r="C202" s="6" t="s">
        <v>450</v>
      </c>
      <c r="D202" s="6" t="s">
        <v>12</v>
      </c>
      <c r="E202" s="6" t="s">
        <v>13</v>
      </c>
      <c r="F202" s="6" t="s">
        <v>13</v>
      </c>
      <c r="G202" s="6" t="s">
        <v>88</v>
      </c>
      <c r="H202" s="7">
        <v>241.5</v>
      </c>
      <c r="I202" s="6"/>
      <c r="J202" s="6"/>
      <c r="K202" s="6"/>
      <c r="L202" s="6"/>
      <c r="M202" s="6" t="s">
        <v>89</v>
      </c>
      <c r="N202" s="7">
        <v>6.53</v>
      </c>
    </row>
    <row r="203" spans="1:14" x14ac:dyDescent="0.25">
      <c r="A203" s="6" t="s">
        <v>451</v>
      </c>
      <c r="B203" s="6" t="str">
        <f t="shared" si="3"/>
        <v>PM1180</v>
      </c>
      <c r="C203" s="6" t="s">
        <v>452</v>
      </c>
      <c r="D203" s="6" t="s">
        <v>12</v>
      </c>
      <c r="E203" s="6" t="s">
        <v>13</v>
      </c>
      <c r="F203" s="6" t="s">
        <v>13</v>
      </c>
      <c r="G203" s="6" t="s">
        <v>229</v>
      </c>
      <c r="H203" s="7">
        <v>25.23</v>
      </c>
      <c r="I203" s="6" t="s">
        <v>230</v>
      </c>
      <c r="J203" s="7">
        <v>67.150000000000006</v>
      </c>
      <c r="K203" s="6"/>
      <c r="L203" s="6"/>
      <c r="M203" s="6" t="s">
        <v>28</v>
      </c>
      <c r="N203" s="7">
        <v>4.34</v>
      </c>
    </row>
    <row r="204" spans="1:14" x14ac:dyDescent="0.25">
      <c r="A204" s="6" t="s">
        <v>453</v>
      </c>
      <c r="B204" s="6" t="str">
        <f t="shared" si="3"/>
        <v>PM1070</v>
      </c>
      <c r="C204" s="6" t="s">
        <v>454</v>
      </c>
      <c r="D204" s="6" t="s">
        <v>12</v>
      </c>
      <c r="E204" s="6" t="s">
        <v>13</v>
      </c>
      <c r="F204" s="6" t="s">
        <v>13</v>
      </c>
      <c r="G204" s="6" t="s">
        <v>96</v>
      </c>
      <c r="H204" s="7">
        <v>51.58</v>
      </c>
      <c r="I204" s="6"/>
      <c r="J204" s="6"/>
      <c r="K204" s="6"/>
      <c r="L204" s="6"/>
      <c r="M204" s="6"/>
      <c r="N204" s="6"/>
    </row>
    <row r="205" spans="1:14" x14ac:dyDescent="0.25">
      <c r="A205" s="6" t="s">
        <v>455</v>
      </c>
      <c r="B205" s="6" t="str">
        <f t="shared" si="3"/>
        <v>PM1080</v>
      </c>
      <c r="C205" s="6" t="s">
        <v>456</v>
      </c>
      <c r="D205" s="6" t="s">
        <v>12</v>
      </c>
      <c r="E205" s="6" t="s">
        <v>13</v>
      </c>
      <c r="F205" s="6" t="s">
        <v>13</v>
      </c>
      <c r="G205" s="6" t="s">
        <v>96</v>
      </c>
      <c r="H205" s="7">
        <v>55.35</v>
      </c>
      <c r="I205" s="6"/>
      <c r="J205" s="6"/>
      <c r="K205" s="6"/>
      <c r="L205" s="6"/>
      <c r="M205" s="6"/>
      <c r="N205" s="6"/>
    </row>
    <row r="206" spans="1:14" x14ac:dyDescent="0.25">
      <c r="A206" s="6" t="s">
        <v>457</v>
      </c>
      <c r="B206" s="6" t="str">
        <f t="shared" si="3"/>
        <v>NA1830</v>
      </c>
      <c r="C206" s="6" t="s">
        <v>458</v>
      </c>
      <c r="D206" s="6" t="s">
        <v>12</v>
      </c>
      <c r="E206" s="6" t="s">
        <v>13</v>
      </c>
      <c r="F206" s="6" t="s">
        <v>13</v>
      </c>
      <c r="G206" s="6" t="s">
        <v>96</v>
      </c>
      <c r="H206" s="7">
        <v>104.31</v>
      </c>
      <c r="I206" s="6"/>
      <c r="J206" s="6"/>
      <c r="K206" s="6"/>
      <c r="L206" s="6"/>
      <c r="M206" s="6" t="s">
        <v>89</v>
      </c>
      <c r="N206" s="7">
        <v>3.42</v>
      </c>
    </row>
    <row r="207" spans="1:14" x14ac:dyDescent="0.25">
      <c r="A207" s="6" t="s">
        <v>459</v>
      </c>
      <c r="B207" s="6" t="str">
        <f t="shared" si="3"/>
        <v>NA2250</v>
      </c>
      <c r="C207" s="6" t="s">
        <v>460</v>
      </c>
      <c r="D207" s="6" t="s">
        <v>12</v>
      </c>
      <c r="E207" s="6" t="s">
        <v>13</v>
      </c>
      <c r="F207" s="6" t="s">
        <v>13</v>
      </c>
      <c r="G207" s="6" t="s">
        <v>96</v>
      </c>
      <c r="H207" s="7">
        <v>105.01</v>
      </c>
      <c r="I207" s="6"/>
      <c r="J207" s="6"/>
      <c r="K207" s="6"/>
      <c r="L207" s="6"/>
      <c r="M207" s="6" t="s">
        <v>89</v>
      </c>
      <c r="N207" s="7">
        <v>3.7</v>
      </c>
    </row>
    <row r="208" spans="1:14" x14ac:dyDescent="0.25">
      <c r="A208" s="6" t="s">
        <v>461</v>
      </c>
      <c r="B208" s="6" t="str">
        <f t="shared" si="3"/>
        <v>NA2950</v>
      </c>
      <c r="C208" s="6" t="s">
        <v>462</v>
      </c>
      <c r="D208" s="6" t="s">
        <v>12</v>
      </c>
      <c r="E208" s="6" t="s">
        <v>13</v>
      </c>
      <c r="F208" s="6" t="s">
        <v>13</v>
      </c>
      <c r="G208" s="6" t="s">
        <v>96</v>
      </c>
      <c r="H208" s="7">
        <v>186.38</v>
      </c>
      <c r="I208" s="6"/>
      <c r="J208" s="6"/>
      <c r="K208" s="6"/>
      <c r="L208" s="6"/>
      <c r="M208" s="6" t="s">
        <v>89</v>
      </c>
      <c r="N208" s="7">
        <v>6.56</v>
      </c>
    </row>
    <row r="209" spans="1:14" x14ac:dyDescent="0.25">
      <c r="A209" s="6" t="s">
        <v>463</v>
      </c>
      <c r="B209" s="6" t="str">
        <f t="shared" si="3"/>
        <v>NA2090</v>
      </c>
      <c r="C209" s="6" t="s">
        <v>464</v>
      </c>
      <c r="D209" s="6" t="s">
        <v>12</v>
      </c>
      <c r="E209" s="6" t="s">
        <v>13</v>
      </c>
      <c r="F209" s="6" t="s">
        <v>13</v>
      </c>
      <c r="G209" s="6" t="s">
        <v>96</v>
      </c>
      <c r="H209" s="7">
        <v>119.33</v>
      </c>
      <c r="I209" s="6"/>
      <c r="J209" s="6"/>
      <c r="K209" s="6"/>
      <c r="L209" s="6"/>
      <c r="M209" s="6" t="s">
        <v>89</v>
      </c>
      <c r="N209" s="7">
        <v>4.2</v>
      </c>
    </row>
    <row r="210" spans="1:14" x14ac:dyDescent="0.25">
      <c r="A210" s="6" t="s">
        <v>465</v>
      </c>
      <c r="B210" s="6" t="str">
        <f t="shared" si="3"/>
        <v>NA2920</v>
      </c>
      <c r="C210" s="6" t="s">
        <v>466</v>
      </c>
      <c r="D210" s="6" t="s">
        <v>12</v>
      </c>
      <c r="E210" s="6" t="s">
        <v>13</v>
      </c>
      <c r="F210" s="6" t="s">
        <v>13</v>
      </c>
      <c r="G210" s="6" t="s">
        <v>96</v>
      </c>
      <c r="H210" s="7">
        <v>164.79</v>
      </c>
      <c r="I210" s="6"/>
      <c r="J210" s="6"/>
      <c r="K210" s="6"/>
      <c r="L210" s="6"/>
      <c r="M210" s="6" t="s">
        <v>89</v>
      </c>
      <c r="N210" s="7">
        <v>5.8</v>
      </c>
    </row>
    <row r="211" spans="1:14" x14ac:dyDescent="0.25">
      <c r="A211" s="6" t="s">
        <v>467</v>
      </c>
      <c r="B211" s="6" t="str">
        <f t="shared" si="3"/>
        <v>NA2960</v>
      </c>
      <c r="C211" s="6" t="s">
        <v>468</v>
      </c>
      <c r="D211" s="6" t="s">
        <v>12</v>
      </c>
      <c r="E211" s="6" t="s">
        <v>13</v>
      </c>
      <c r="F211" s="6" t="s">
        <v>13</v>
      </c>
      <c r="G211" s="6" t="s">
        <v>96</v>
      </c>
      <c r="H211" s="7">
        <v>84.55</v>
      </c>
      <c r="I211" s="6"/>
      <c r="J211" s="6"/>
      <c r="K211" s="6"/>
      <c r="L211" s="6"/>
      <c r="M211" s="6" t="s">
        <v>89</v>
      </c>
      <c r="N211" s="7">
        <v>2.98</v>
      </c>
    </row>
    <row r="212" spans="1:14" x14ac:dyDescent="0.25">
      <c r="A212" s="6" t="s">
        <v>469</v>
      </c>
      <c r="B212" s="6" t="str">
        <f t="shared" si="3"/>
        <v>NA2032</v>
      </c>
      <c r="C212" s="6" t="s">
        <v>246</v>
      </c>
      <c r="D212" s="6" t="s">
        <v>12</v>
      </c>
      <c r="E212" s="6" t="s">
        <v>13</v>
      </c>
      <c r="F212" s="6" t="s">
        <v>13</v>
      </c>
      <c r="G212" s="6" t="s">
        <v>31</v>
      </c>
      <c r="H212" s="7">
        <v>1.52</v>
      </c>
      <c r="I212" s="6" t="s">
        <v>32</v>
      </c>
      <c r="J212" s="7">
        <v>2.89</v>
      </c>
      <c r="K212" s="6" t="s">
        <v>33</v>
      </c>
      <c r="L212" s="7">
        <v>2.54</v>
      </c>
      <c r="M212" s="6" t="s">
        <v>34</v>
      </c>
      <c r="N212" s="7">
        <v>0.02</v>
      </c>
    </row>
    <row r="213" spans="1:14" x14ac:dyDescent="0.25">
      <c r="A213" s="6" t="s">
        <v>470</v>
      </c>
      <c r="B213" s="6" t="str">
        <f t="shared" si="3"/>
        <v>NA2140</v>
      </c>
      <c r="C213" s="6" t="s">
        <v>471</v>
      </c>
      <c r="D213" s="6" t="s">
        <v>12</v>
      </c>
      <c r="E213" s="6" t="s">
        <v>13</v>
      </c>
      <c r="F213" s="6" t="s">
        <v>13</v>
      </c>
      <c r="G213" s="6" t="s">
        <v>200</v>
      </c>
      <c r="H213" s="7">
        <v>10.17</v>
      </c>
      <c r="I213" s="6" t="s">
        <v>183</v>
      </c>
      <c r="J213" s="7">
        <v>1.85</v>
      </c>
      <c r="K213" s="6"/>
      <c r="L213" s="6"/>
      <c r="M213" s="6"/>
      <c r="N213" s="6"/>
    </row>
    <row r="214" spans="1:14" x14ac:dyDescent="0.25">
      <c r="A214" s="6" t="s">
        <v>472</v>
      </c>
      <c r="B214" s="6" t="str">
        <f t="shared" si="3"/>
        <v>NA2120</v>
      </c>
      <c r="C214" s="6" t="s">
        <v>473</v>
      </c>
      <c r="D214" s="6" t="s">
        <v>12</v>
      </c>
      <c r="E214" s="6" t="s">
        <v>13</v>
      </c>
      <c r="F214" s="6" t="s">
        <v>13</v>
      </c>
      <c r="G214" s="6" t="s">
        <v>200</v>
      </c>
      <c r="H214" s="7">
        <v>24.62</v>
      </c>
      <c r="I214" s="6" t="s">
        <v>183</v>
      </c>
      <c r="J214" s="7">
        <v>3.41</v>
      </c>
      <c r="K214" s="6"/>
      <c r="L214" s="6"/>
      <c r="M214" s="6"/>
      <c r="N214" s="6"/>
    </row>
    <row r="215" spans="1:14" x14ac:dyDescent="0.25">
      <c r="A215" s="6" t="s">
        <v>474</v>
      </c>
      <c r="B215" s="6" t="str">
        <f t="shared" si="3"/>
        <v>NA2110</v>
      </c>
      <c r="C215" s="6" t="s">
        <v>475</v>
      </c>
      <c r="D215" s="6" t="s">
        <v>12</v>
      </c>
      <c r="E215" s="6" t="s">
        <v>13</v>
      </c>
      <c r="F215" s="6" t="s">
        <v>13</v>
      </c>
      <c r="G215" s="6" t="s">
        <v>476</v>
      </c>
      <c r="H215" s="7">
        <v>135.09</v>
      </c>
      <c r="I215" s="6"/>
      <c r="J215" s="6"/>
      <c r="K215" s="6"/>
      <c r="L215" s="6"/>
      <c r="M215" s="6"/>
      <c r="N215" s="6"/>
    </row>
    <row r="216" spans="1:14" x14ac:dyDescent="0.25">
      <c r="A216" s="6" t="s">
        <v>477</v>
      </c>
      <c r="B216" s="6" t="str">
        <f t="shared" si="3"/>
        <v>NA2330</v>
      </c>
      <c r="C216" s="6" t="s">
        <v>478</v>
      </c>
      <c r="D216" s="6" t="s">
        <v>12</v>
      </c>
      <c r="E216" s="6" t="s">
        <v>13</v>
      </c>
      <c r="F216" s="6" t="s">
        <v>13</v>
      </c>
      <c r="G216" s="6" t="s">
        <v>96</v>
      </c>
      <c r="H216" s="7">
        <v>117.43</v>
      </c>
      <c r="I216" s="6"/>
      <c r="J216" s="6"/>
      <c r="K216" s="6"/>
      <c r="L216" s="6"/>
      <c r="M216" s="6" t="s">
        <v>89</v>
      </c>
      <c r="N216" s="7">
        <v>4.1399999999999997</v>
      </c>
    </row>
    <row r="217" spans="1:14" x14ac:dyDescent="0.25">
      <c r="A217" s="6" t="s">
        <v>479</v>
      </c>
      <c r="B217" s="6" t="str">
        <f t="shared" si="3"/>
        <v>NA2930</v>
      </c>
      <c r="C217" s="6" t="s">
        <v>480</v>
      </c>
      <c r="D217" s="6" t="s">
        <v>12</v>
      </c>
      <c r="E217" s="6" t="s">
        <v>13</v>
      </c>
      <c r="F217" s="6" t="s">
        <v>13</v>
      </c>
      <c r="G217" s="6" t="s">
        <v>96</v>
      </c>
      <c r="H217" s="7">
        <v>187.52</v>
      </c>
      <c r="I217" s="6"/>
      <c r="J217" s="6"/>
      <c r="K217" s="6"/>
      <c r="L217" s="6"/>
      <c r="M217" s="6" t="s">
        <v>89</v>
      </c>
      <c r="N217" s="7">
        <v>6.6</v>
      </c>
    </row>
    <row r="218" spans="1:14" x14ac:dyDescent="0.25">
      <c r="A218" s="6" t="s">
        <v>481</v>
      </c>
      <c r="B218" s="6" t="str">
        <f t="shared" si="3"/>
        <v>NA2200</v>
      </c>
      <c r="C218" s="6" t="s">
        <v>482</v>
      </c>
      <c r="D218" s="6" t="s">
        <v>12</v>
      </c>
      <c r="E218" s="6" t="s">
        <v>13</v>
      </c>
      <c r="F218" s="6" t="s">
        <v>13</v>
      </c>
      <c r="G218" s="6" t="s">
        <v>96</v>
      </c>
      <c r="H218" s="7">
        <v>93.07</v>
      </c>
      <c r="I218" s="6"/>
      <c r="J218" s="6"/>
      <c r="K218" s="6"/>
      <c r="L218" s="6"/>
      <c r="M218" s="6" t="s">
        <v>89</v>
      </c>
      <c r="N218" s="7">
        <v>3.28</v>
      </c>
    </row>
    <row r="219" spans="1:14" x14ac:dyDescent="0.25">
      <c r="A219" s="6" t="s">
        <v>483</v>
      </c>
      <c r="B219" s="6" t="str">
        <f t="shared" si="3"/>
        <v>NA2320</v>
      </c>
      <c r="C219" s="6" t="s">
        <v>484</v>
      </c>
      <c r="D219" s="6" t="s">
        <v>12</v>
      </c>
      <c r="E219" s="6" t="s">
        <v>13</v>
      </c>
      <c r="F219" s="6" t="s">
        <v>13</v>
      </c>
      <c r="G219" s="6" t="s">
        <v>96</v>
      </c>
      <c r="H219" s="7">
        <v>93.8</v>
      </c>
      <c r="I219" s="6"/>
      <c r="J219" s="6"/>
      <c r="K219" s="6"/>
      <c r="L219" s="6"/>
      <c r="M219" s="6" t="s">
        <v>89</v>
      </c>
      <c r="N219" s="7">
        <v>3.3</v>
      </c>
    </row>
    <row r="220" spans="1:14" x14ac:dyDescent="0.25">
      <c r="A220" s="6" t="s">
        <v>485</v>
      </c>
      <c r="B220" s="6" t="str">
        <f t="shared" si="3"/>
        <v>NA2230</v>
      </c>
      <c r="C220" s="6" t="s">
        <v>486</v>
      </c>
      <c r="D220" s="6" t="s">
        <v>12</v>
      </c>
      <c r="E220" s="6" t="s">
        <v>13</v>
      </c>
      <c r="F220" s="6" t="s">
        <v>13</v>
      </c>
      <c r="G220" s="6" t="s">
        <v>96</v>
      </c>
      <c r="H220" s="7">
        <v>152.74</v>
      </c>
      <c r="I220" s="6"/>
      <c r="J220" s="6"/>
      <c r="K220" s="6"/>
      <c r="L220" s="6"/>
      <c r="M220" s="6" t="s">
        <v>89</v>
      </c>
      <c r="N220" s="7">
        <v>5.38</v>
      </c>
    </row>
    <row r="221" spans="1:14" x14ac:dyDescent="0.25">
      <c r="A221" s="6" t="s">
        <v>487</v>
      </c>
      <c r="B221" s="6" t="str">
        <f t="shared" si="3"/>
        <v>NA2970</v>
      </c>
      <c r="C221" s="6" t="s">
        <v>488</v>
      </c>
      <c r="D221" s="6" t="s">
        <v>12</v>
      </c>
      <c r="E221" s="6" t="s">
        <v>13</v>
      </c>
      <c r="F221" s="6" t="s">
        <v>13</v>
      </c>
      <c r="G221" s="6" t="s">
        <v>96</v>
      </c>
      <c r="H221" s="7">
        <v>103.42</v>
      </c>
      <c r="I221" s="6"/>
      <c r="J221" s="6"/>
      <c r="K221" s="6"/>
      <c r="L221" s="6"/>
      <c r="M221" s="6" t="s">
        <v>89</v>
      </c>
      <c r="N221" s="7">
        <v>3.64</v>
      </c>
    </row>
    <row r="222" spans="1:14" x14ac:dyDescent="0.25">
      <c r="A222" s="6" t="s">
        <v>489</v>
      </c>
      <c r="B222" s="6" t="str">
        <f t="shared" si="3"/>
        <v>NA2830</v>
      </c>
      <c r="C222" s="6" t="s">
        <v>490</v>
      </c>
      <c r="D222" s="6" t="s">
        <v>12</v>
      </c>
      <c r="E222" s="6" t="s">
        <v>13</v>
      </c>
      <c r="F222" s="6" t="s">
        <v>13</v>
      </c>
      <c r="G222" s="6" t="s">
        <v>96</v>
      </c>
      <c r="H222" s="7">
        <v>77.28</v>
      </c>
      <c r="I222" s="6"/>
      <c r="J222" s="6"/>
      <c r="K222" s="6"/>
      <c r="L222" s="6"/>
      <c r="M222" s="6" t="s">
        <v>89</v>
      </c>
      <c r="N222" s="7">
        <v>2.72</v>
      </c>
    </row>
    <row r="223" spans="1:14" x14ac:dyDescent="0.25">
      <c r="A223" s="6" t="s">
        <v>491</v>
      </c>
      <c r="B223" s="6" t="str">
        <f t="shared" si="3"/>
        <v>NA2031</v>
      </c>
      <c r="C223" s="6" t="s">
        <v>418</v>
      </c>
      <c r="D223" s="6" t="s">
        <v>12</v>
      </c>
      <c r="E223" s="6" t="s">
        <v>13</v>
      </c>
      <c r="F223" s="6" t="s">
        <v>13</v>
      </c>
      <c r="G223" s="6" t="s">
        <v>31</v>
      </c>
      <c r="H223" s="7">
        <v>3.2</v>
      </c>
      <c r="I223" s="6" t="s">
        <v>32</v>
      </c>
      <c r="J223" s="7">
        <v>6.06</v>
      </c>
      <c r="K223" s="6" t="s">
        <v>33</v>
      </c>
      <c r="L223" s="7">
        <v>5.33</v>
      </c>
      <c r="M223" s="6" t="s">
        <v>34</v>
      </c>
      <c r="N223" s="7">
        <v>0.04</v>
      </c>
    </row>
    <row r="224" spans="1:14" x14ac:dyDescent="0.25">
      <c r="A224" s="6" t="s">
        <v>492</v>
      </c>
      <c r="B224" s="6" t="str">
        <f t="shared" si="3"/>
        <v>NA2720</v>
      </c>
      <c r="C224" s="6" t="s">
        <v>493</v>
      </c>
      <c r="D224" s="6" t="s">
        <v>12</v>
      </c>
      <c r="E224" s="6" t="s">
        <v>13</v>
      </c>
      <c r="F224" s="6" t="s">
        <v>13</v>
      </c>
      <c r="G224" s="6" t="s">
        <v>96</v>
      </c>
      <c r="H224" s="7">
        <v>12.96</v>
      </c>
      <c r="I224" s="6"/>
      <c r="J224" s="6"/>
      <c r="K224" s="6"/>
      <c r="L224" s="6"/>
      <c r="M224" s="6" t="s">
        <v>344</v>
      </c>
      <c r="N224" s="7">
        <v>0.3</v>
      </c>
    </row>
    <row r="225" spans="1:14" x14ac:dyDescent="0.25">
      <c r="A225" s="6" t="s">
        <v>494</v>
      </c>
      <c r="B225" s="6" t="str">
        <f t="shared" si="3"/>
        <v>NA2150</v>
      </c>
      <c r="C225" s="6" t="s">
        <v>495</v>
      </c>
      <c r="D225" s="6" t="s">
        <v>12</v>
      </c>
      <c r="E225" s="6" t="s">
        <v>13</v>
      </c>
      <c r="F225" s="6" t="s">
        <v>13</v>
      </c>
      <c r="G225" s="6" t="s">
        <v>96</v>
      </c>
      <c r="H225" s="7">
        <v>112.17</v>
      </c>
      <c r="I225" s="6"/>
      <c r="J225" s="6"/>
      <c r="K225" s="6"/>
      <c r="L225" s="6"/>
      <c r="M225" s="6" t="s">
        <v>89</v>
      </c>
      <c r="N225" s="7">
        <v>3.95</v>
      </c>
    </row>
    <row r="226" spans="1:14" x14ac:dyDescent="0.25">
      <c r="A226" s="6" t="s">
        <v>496</v>
      </c>
      <c r="B226" s="6" t="str">
        <f t="shared" si="3"/>
        <v>NA2033</v>
      </c>
      <c r="C226" s="6" t="s">
        <v>262</v>
      </c>
      <c r="D226" s="6" t="s">
        <v>12</v>
      </c>
      <c r="E226" s="6" t="s">
        <v>13</v>
      </c>
      <c r="F226" s="6" t="s">
        <v>13</v>
      </c>
      <c r="G226" s="6" t="s">
        <v>43</v>
      </c>
      <c r="H226" s="7">
        <v>3.67</v>
      </c>
      <c r="I226" s="6" t="s">
        <v>44</v>
      </c>
      <c r="J226" s="7">
        <v>1.62</v>
      </c>
      <c r="K226" s="6"/>
      <c r="L226" s="6"/>
      <c r="M226" s="6"/>
      <c r="N226" s="6"/>
    </row>
    <row r="227" spans="1:14" x14ac:dyDescent="0.25">
      <c r="A227" s="6" t="s">
        <v>497</v>
      </c>
      <c r="B227" s="6" t="str">
        <f t="shared" si="3"/>
        <v>NA2180</v>
      </c>
      <c r="C227" s="6" t="s">
        <v>498</v>
      </c>
      <c r="D227" s="6" t="s">
        <v>12</v>
      </c>
      <c r="E227" s="6" t="s">
        <v>13</v>
      </c>
      <c r="F227" s="6" t="s">
        <v>13</v>
      </c>
      <c r="G227" s="6" t="s">
        <v>96</v>
      </c>
      <c r="H227" s="7">
        <v>59.89</v>
      </c>
      <c r="I227" s="6"/>
      <c r="J227" s="6"/>
      <c r="K227" s="6"/>
      <c r="L227" s="6"/>
      <c r="M227" s="6" t="s">
        <v>89</v>
      </c>
      <c r="N227" s="7">
        <v>1.96</v>
      </c>
    </row>
    <row r="228" spans="1:14" x14ac:dyDescent="0.25">
      <c r="A228" s="6" t="s">
        <v>499</v>
      </c>
      <c r="B228" s="6" t="str">
        <f t="shared" si="3"/>
        <v>NA2700</v>
      </c>
      <c r="C228" s="6" t="s">
        <v>500</v>
      </c>
      <c r="D228" s="6" t="s">
        <v>12</v>
      </c>
      <c r="E228" s="6" t="s">
        <v>13</v>
      </c>
      <c r="F228" s="6" t="s">
        <v>13</v>
      </c>
      <c r="G228" s="6" t="s">
        <v>31</v>
      </c>
      <c r="H228" s="7">
        <v>8.3699999999999992</v>
      </c>
      <c r="I228" s="6" t="s">
        <v>32</v>
      </c>
      <c r="J228" s="7">
        <v>7.19</v>
      </c>
      <c r="K228" s="6" t="s">
        <v>33</v>
      </c>
      <c r="L228" s="7">
        <v>18.62</v>
      </c>
      <c r="M228" s="6" t="s">
        <v>34</v>
      </c>
      <c r="N228" s="7">
        <v>0.9</v>
      </c>
    </row>
    <row r="229" spans="1:14" x14ac:dyDescent="0.25">
      <c r="A229" s="6" t="s">
        <v>501</v>
      </c>
      <c r="B229" s="6" t="str">
        <f t="shared" si="3"/>
        <v>NA2662</v>
      </c>
      <c r="C229" s="6" t="s">
        <v>502</v>
      </c>
      <c r="D229" s="6" t="s">
        <v>12</v>
      </c>
      <c r="E229" s="6" t="s">
        <v>13</v>
      </c>
      <c r="F229" s="6" t="s">
        <v>13</v>
      </c>
      <c r="G229" s="6" t="s">
        <v>200</v>
      </c>
      <c r="H229" s="7">
        <v>27.57</v>
      </c>
      <c r="I229" s="6" t="s">
        <v>183</v>
      </c>
      <c r="J229" s="7">
        <v>3.95</v>
      </c>
      <c r="K229" s="6"/>
      <c r="L229" s="6"/>
      <c r="M229" s="6"/>
      <c r="N229" s="6"/>
    </row>
    <row r="230" spans="1:14" x14ac:dyDescent="0.25">
      <c r="A230" s="6" t="s">
        <v>503</v>
      </c>
      <c r="B230" s="6" t="str">
        <f t="shared" si="3"/>
        <v>NA2980</v>
      </c>
      <c r="C230" s="6" t="s">
        <v>504</v>
      </c>
      <c r="D230" s="6" t="s">
        <v>12</v>
      </c>
      <c r="E230" s="6" t="s">
        <v>13</v>
      </c>
      <c r="F230" s="6" t="s">
        <v>13</v>
      </c>
      <c r="G230" s="6" t="s">
        <v>96</v>
      </c>
      <c r="H230" s="7">
        <v>127.97</v>
      </c>
      <c r="I230" s="6"/>
      <c r="J230" s="6"/>
      <c r="K230" s="6"/>
      <c r="L230" s="6"/>
      <c r="M230" s="6" t="s">
        <v>89</v>
      </c>
      <c r="N230" s="7">
        <v>4.5</v>
      </c>
    </row>
    <row r="231" spans="1:14" x14ac:dyDescent="0.25">
      <c r="A231" s="6" t="s">
        <v>505</v>
      </c>
      <c r="B231" s="6" t="str">
        <f t="shared" si="3"/>
        <v>NA2410</v>
      </c>
      <c r="C231" s="6" t="s">
        <v>506</v>
      </c>
      <c r="D231" s="6" t="s">
        <v>12</v>
      </c>
      <c r="E231" s="6" t="s">
        <v>13</v>
      </c>
      <c r="F231" s="6" t="s">
        <v>13</v>
      </c>
      <c r="G231" s="6" t="s">
        <v>96</v>
      </c>
      <c r="H231" s="7">
        <v>137.52000000000001</v>
      </c>
      <c r="I231" s="6"/>
      <c r="J231" s="6"/>
      <c r="K231" s="6"/>
      <c r="L231" s="6"/>
      <c r="M231" s="6" t="s">
        <v>89</v>
      </c>
      <c r="N231" s="7">
        <v>4.84</v>
      </c>
    </row>
    <row r="232" spans="1:14" x14ac:dyDescent="0.25">
      <c r="A232" s="6" t="s">
        <v>507</v>
      </c>
      <c r="B232" s="6" t="str">
        <f t="shared" si="3"/>
        <v>NA2910</v>
      </c>
      <c r="C232" s="6" t="s">
        <v>508</v>
      </c>
      <c r="D232" s="6" t="s">
        <v>12</v>
      </c>
      <c r="E232" s="6" t="s">
        <v>13</v>
      </c>
      <c r="F232" s="6" t="s">
        <v>13</v>
      </c>
      <c r="G232" s="6" t="s">
        <v>476</v>
      </c>
      <c r="H232" s="7">
        <v>135.30000000000001</v>
      </c>
      <c r="I232" s="6"/>
      <c r="J232" s="6"/>
      <c r="K232" s="6"/>
      <c r="L232" s="6"/>
      <c r="M232" s="6"/>
      <c r="N232" s="6"/>
    </row>
    <row r="233" spans="1:14" x14ac:dyDescent="0.25">
      <c r="A233" s="6" t="s">
        <v>509</v>
      </c>
      <c r="B233" s="6" t="str">
        <f t="shared" si="3"/>
        <v>NA2630</v>
      </c>
      <c r="C233" s="6" t="s">
        <v>510</v>
      </c>
      <c r="D233" s="6" t="s">
        <v>12</v>
      </c>
      <c r="E233" s="6" t="s">
        <v>13</v>
      </c>
      <c r="F233" s="6" t="s">
        <v>13</v>
      </c>
      <c r="G233" s="6" t="s">
        <v>96</v>
      </c>
      <c r="H233" s="7">
        <v>65.88</v>
      </c>
      <c r="I233" s="6"/>
      <c r="J233" s="6"/>
      <c r="K233" s="6"/>
      <c r="L233" s="6"/>
      <c r="M233" s="6" t="s">
        <v>89</v>
      </c>
      <c r="N233" s="7">
        <v>2.16</v>
      </c>
    </row>
    <row r="234" spans="1:14" x14ac:dyDescent="0.25">
      <c r="A234" s="6" t="s">
        <v>511</v>
      </c>
      <c r="B234" s="6" t="str">
        <f t="shared" si="3"/>
        <v>NA2240</v>
      </c>
      <c r="C234" s="6" t="s">
        <v>512</v>
      </c>
      <c r="D234" s="6" t="s">
        <v>12</v>
      </c>
      <c r="E234" s="6" t="s">
        <v>13</v>
      </c>
      <c r="F234" s="6" t="s">
        <v>13</v>
      </c>
      <c r="G234" s="6" t="s">
        <v>96</v>
      </c>
      <c r="H234" s="7">
        <v>110.24</v>
      </c>
      <c r="I234" s="6"/>
      <c r="J234" s="6"/>
      <c r="K234" s="6"/>
      <c r="L234" s="6"/>
      <c r="M234" s="6" t="s">
        <v>89</v>
      </c>
      <c r="N234" s="7">
        <v>3.88</v>
      </c>
    </row>
    <row r="235" spans="1:14" x14ac:dyDescent="0.25">
      <c r="A235" s="6" t="s">
        <v>513</v>
      </c>
      <c r="B235" s="6" t="str">
        <f t="shared" si="3"/>
        <v>NA2210</v>
      </c>
      <c r="C235" s="6" t="s">
        <v>514</v>
      </c>
      <c r="D235" s="6" t="s">
        <v>12</v>
      </c>
      <c r="E235" s="6" t="s">
        <v>13</v>
      </c>
      <c r="F235" s="6" t="s">
        <v>13</v>
      </c>
      <c r="G235" s="6" t="s">
        <v>96</v>
      </c>
      <c r="H235" s="7">
        <v>144.4</v>
      </c>
      <c r="I235" s="6"/>
      <c r="J235" s="6"/>
      <c r="K235" s="6"/>
      <c r="L235" s="6"/>
      <c r="M235" s="6" t="s">
        <v>89</v>
      </c>
      <c r="N235" s="7">
        <v>5.08</v>
      </c>
    </row>
    <row r="236" spans="1:14" x14ac:dyDescent="0.25">
      <c r="A236" s="6" t="s">
        <v>515</v>
      </c>
      <c r="B236" s="6" t="str">
        <f t="shared" si="3"/>
        <v>NA2100</v>
      </c>
      <c r="C236" s="6" t="s">
        <v>516</v>
      </c>
      <c r="D236" s="6" t="s">
        <v>12</v>
      </c>
      <c r="E236" s="6" t="s">
        <v>13</v>
      </c>
      <c r="F236" s="6" t="s">
        <v>13</v>
      </c>
      <c r="G236" s="6" t="s">
        <v>96</v>
      </c>
      <c r="H236" s="7">
        <v>69.209999999999994</v>
      </c>
      <c r="I236" s="6"/>
      <c r="J236" s="6"/>
      <c r="K236" s="6"/>
      <c r="L236" s="6"/>
      <c r="M236" s="6" t="s">
        <v>89</v>
      </c>
      <c r="N236" s="7">
        <v>2.44</v>
      </c>
    </row>
    <row r="237" spans="1:14" x14ac:dyDescent="0.25">
      <c r="A237" s="6" t="s">
        <v>517</v>
      </c>
      <c r="B237" s="6" t="str">
        <f t="shared" si="3"/>
        <v>NA2190</v>
      </c>
      <c r="C237" s="6" t="s">
        <v>518</v>
      </c>
      <c r="D237" s="6" t="s">
        <v>12</v>
      </c>
      <c r="E237" s="6" t="s">
        <v>13</v>
      </c>
      <c r="F237" s="6" t="s">
        <v>13</v>
      </c>
      <c r="G237" s="6" t="s">
        <v>96</v>
      </c>
      <c r="H237" s="7">
        <v>105.49</v>
      </c>
      <c r="I237" s="6"/>
      <c r="J237" s="6"/>
      <c r="K237" s="6"/>
      <c r="L237" s="6"/>
      <c r="M237" s="6" t="s">
        <v>89</v>
      </c>
      <c r="N237" s="7">
        <v>3.72</v>
      </c>
    </row>
    <row r="238" spans="1:14" x14ac:dyDescent="0.25">
      <c r="A238" s="6" t="s">
        <v>519</v>
      </c>
      <c r="B238" s="6" t="str">
        <f t="shared" si="3"/>
        <v>NA2680</v>
      </c>
      <c r="C238" s="6" t="s">
        <v>520</v>
      </c>
      <c r="D238" s="6" t="s">
        <v>12</v>
      </c>
      <c r="E238" s="6" t="s">
        <v>13</v>
      </c>
      <c r="F238" s="6" t="s">
        <v>13</v>
      </c>
      <c r="G238" s="6" t="s">
        <v>96</v>
      </c>
      <c r="H238" s="7">
        <v>123.3</v>
      </c>
      <c r="I238" s="6"/>
      <c r="J238" s="6"/>
      <c r="K238" s="6"/>
      <c r="L238" s="6"/>
      <c r="M238" s="6" t="s">
        <v>89</v>
      </c>
      <c r="N238" s="7">
        <v>4.04</v>
      </c>
    </row>
    <row r="239" spans="1:14" x14ac:dyDescent="0.25">
      <c r="A239" s="6" t="s">
        <v>521</v>
      </c>
      <c r="B239" s="6" t="str">
        <f t="shared" si="3"/>
        <v>NA2661</v>
      </c>
      <c r="C239" s="6" t="s">
        <v>502</v>
      </c>
      <c r="D239" s="6" t="s">
        <v>12</v>
      </c>
      <c r="E239" s="6" t="s">
        <v>13</v>
      </c>
      <c r="F239" s="6" t="s">
        <v>13</v>
      </c>
      <c r="G239" s="6" t="s">
        <v>200</v>
      </c>
      <c r="H239" s="7">
        <v>53.6</v>
      </c>
      <c r="I239" s="6" t="s">
        <v>183</v>
      </c>
      <c r="J239" s="7">
        <v>7.54</v>
      </c>
      <c r="K239" s="6"/>
      <c r="L239" s="6"/>
      <c r="M239" s="6"/>
      <c r="N239" s="6"/>
    </row>
    <row r="240" spans="1:14" x14ac:dyDescent="0.25">
      <c r="A240" s="6" t="s">
        <v>522</v>
      </c>
      <c r="B240" s="6" t="str">
        <f t="shared" si="3"/>
        <v>NA2900</v>
      </c>
      <c r="C240" s="6" t="s">
        <v>523</v>
      </c>
      <c r="D240" s="6" t="s">
        <v>12</v>
      </c>
      <c r="E240" s="6" t="s">
        <v>13</v>
      </c>
      <c r="F240" s="6" t="s">
        <v>13</v>
      </c>
      <c r="G240" s="6" t="s">
        <v>476</v>
      </c>
      <c r="H240" s="7">
        <v>184.23</v>
      </c>
      <c r="I240" s="6"/>
      <c r="J240" s="6"/>
      <c r="K240" s="6"/>
      <c r="L240" s="6"/>
      <c r="M240" s="6"/>
      <c r="N240" s="6"/>
    </row>
    <row r="241" spans="1:14" x14ac:dyDescent="0.25">
      <c r="A241" s="6" t="s">
        <v>524</v>
      </c>
      <c r="B241" s="6" t="str">
        <f t="shared" si="3"/>
        <v>TA199A</v>
      </c>
      <c r="C241" s="6" t="s">
        <v>525</v>
      </c>
      <c r="D241" s="6" t="s">
        <v>12</v>
      </c>
      <c r="E241" s="6" t="s">
        <v>13</v>
      </c>
      <c r="F241" s="6" t="s">
        <v>13</v>
      </c>
      <c r="G241" s="6" t="s">
        <v>31</v>
      </c>
      <c r="H241" s="7">
        <v>24.4</v>
      </c>
      <c r="I241" s="6" t="s">
        <v>32</v>
      </c>
      <c r="J241" s="7">
        <v>20.99</v>
      </c>
      <c r="K241" s="6" t="s">
        <v>33</v>
      </c>
      <c r="L241" s="7">
        <v>54.3</v>
      </c>
      <c r="M241" s="6" t="s">
        <v>34</v>
      </c>
      <c r="N241" s="7">
        <v>2.63</v>
      </c>
    </row>
    <row r="242" spans="1:14" x14ac:dyDescent="0.25">
      <c r="A242" s="6" t="s">
        <v>526</v>
      </c>
      <c r="B242" s="6" t="str">
        <f t="shared" si="3"/>
        <v>TA2510</v>
      </c>
      <c r="C242" s="6" t="s">
        <v>527</v>
      </c>
      <c r="D242" s="6" t="s">
        <v>12</v>
      </c>
      <c r="E242" s="6" t="s">
        <v>13</v>
      </c>
      <c r="F242" s="6" t="s">
        <v>13</v>
      </c>
      <c r="G242" s="6" t="s">
        <v>43</v>
      </c>
      <c r="H242" s="7">
        <v>38.46</v>
      </c>
      <c r="I242" s="6" t="s">
        <v>44</v>
      </c>
      <c r="J242" s="7">
        <v>5.73</v>
      </c>
      <c r="K242" s="6"/>
      <c r="L242" s="6"/>
      <c r="M242" s="6"/>
      <c r="N242" s="6"/>
    </row>
    <row r="243" spans="1:14" x14ac:dyDescent="0.25">
      <c r="A243" s="6" t="s">
        <v>528</v>
      </c>
      <c r="B243" s="6" t="str">
        <f t="shared" si="3"/>
        <v>TA172A</v>
      </c>
      <c r="C243" s="6" t="s">
        <v>529</v>
      </c>
      <c r="D243" s="6" t="s">
        <v>12</v>
      </c>
      <c r="E243" s="6" t="s">
        <v>13</v>
      </c>
      <c r="F243" s="6" t="s">
        <v>13</v>
      </c>
      <c r="G243" s="6" t="s">
        <v>51</v>
      </c>
      <c r="H243" s="7">
        <v>13.83</v>
      </c>
      <c r="I243" s="6" t="s">
        <v>52</v>
      </c>
      <c r="J243" s="7">
        <v>30.09</v>
      </c>
      <c r="K243" s="6" t="s">
        <v>53</v>
      </c>
      <c r="L243" s="7">
        <v>34.97</v>
      </c>
      <c r="M243" s="6" t="s">
        <v>28</v>
      </c>
      <c r="N243" s="7">
        <v>3.84</v>
      </c>
    </row>
    <row r="244" spans="1:14" x14ac:dyDescent="0.25">
      <c r="A244" s="6" t="s">
        <v>530</v>
      </c>
      <c r="B244" s="6" t="str">
        <f t="shared" si="3"/>
        <v>TA2522</v>
      </c>
      <c r="C244" s="6" t="s">
        <v>531</v>
      </c>
      <c r="D244" s="6" t="s">
        <v>12</v>
      </c>
      <c r="E244" s="6" t="s">
        <v>13</v>
      </c>
      <c r="F244" s="6" t="s">
        <v>13</v>
      </c>
      <c r="G244" s="6" t="s">
        <v>51</v>
      </c>
      <c r="H244" s="7">
        <v>6.09</v>
      </c>
      <c r="I244" s="6" t="s">
        <v>52</v>
      </c>
      <c r="J244" s="7">
        <v>16.399999999999999</v>
      </c>
      <c r="K244" s="6" t="s">
        <v>53</v>
      </c>
      <c r="L244" s="7">
        <v>26.43</v>
      </c>
      <c r="M244" s="6" t="s">
        <v>28</v>
      </c>
      <c r="N244" s="7">
        <v>2.5299999999999998</v>
      </c>
    </row>
    <row r="245" spans="1:14" x14ac:dyDescent="0.25">
      <c r="A245" s="6" t="s">
        <v>532</v>
      </c>
      <c r="B245" s="6" t="str">
        <f t="shared" si="3"/>
        <v>TA2531</v>
      </c>
      <c r="C245" s="6" t="s">
        <v>533</v>
      </c>
      <c r="D245" s="6" t="s">
        <v>12</v>
      </c>
      <c r="E245" s="6" t="s">
        <v>13</v>
      </c>
      <c r="F245" s="6" t="s">
        <v>13</v>
      </c>
      <c r="G245" s="6" t="s">
        <v>25</v>
      </c>
      <c r="H245" s="7">
        <v>22.57</v>
      </c>
      <c r="I245" s="6" t="s">
        <v>26</v>
      </c>
      <c r="J245" s="7">
        <v>21.98</v>
      </c>
      <c r="K245" s="6" t="s">
        <v>27</v>
      </c>
      <c r="L245" s="7">
        <v>35.909999999999997</v>
      </c>
      <c r="M245" s="6" t="s">
        <v>28</v>
      </c>
      <c r="N245" s="7">
        <v>3.78</v>
      </c>
    </row>
    <row r="246" spans="1:14" x14ac:dyDescent="0.25">
      <c r="A246" s="6" t="s">
        <v>534</v>
      </c>
      <c r="B246" s="6" t="str">
        <f t="shared" si="3"/>
        <v>TA1700</v>
      </c>
      <c r="C246" s="6" t="s">
        <v>535</v>
      </c>
      <c r="D246" s="6" t="s">
        <v>12</v>
      </c>
      <c r="E246" s="6" t="s">
        <v>13</v>
      </c>
      <c r="F246" s="6" t="s">
        <v>13</v>
      </c>
      <c r="G246" s="6" t="s">
        <v>536</v>
      </c>
      <c r="H246" s="7">
        <v>28.88</v>
      </c>
      <c r="I246" s="6" t="s">
        <v>537</v>
      </c>
      <c r="J246" s="7">
        <v>5.76</v>
      </c>
      <c r="K246" s="6"/>
      <c r="L246" s="6"/>
      <c r="M246" s="6"/>
      <c r="N246" s="6"/>
    </row>
    <row r="247" spans="1:14" x14ac:dyDescent="0.25">
      <c r="A247" s="6" t="s">
        <v>538</v>
      </c>
      <c r="B247" s="6" t="str">
        <f t="shared" si="3"/>
        <v>TA2500</v>
      </c>
      <c r="C247" s="6" t="s">
        <v>539</v>
      </c>
      <c r="D247" s="6" t="s">
        <v>12</v>
      </c>
      <c r="E247" s="6" t="s">
        <v>13</v>
      </c>
      <c r="F247" s="6" t="s">
        <v>13</v>
      </c>
      <c r="G247" s="6" t="s">
        <v>43</v>
      </c>
      <c r="H247" s="7">
        <v>45.52</v>
      </c>
      <c r="I247" s="6" t="s">
        <v>44</v>
      </c>
      <c r="J247" s="7">
        <v>6.77</v>
      </c>
      <c r="K247" s="6"/>
      <c r="L247" s="6"/>
      <c r="M247" s="6"/>
      <c r="N247" s="6"/>
    </row>
    <row r="248" spans="1:14" x14ac:dyDescent="0.25">
      <c r="A248" s="6" t="s">
        <v>540</v>
      </c>
      <c r="B248" s="6" t="str">
        <f t="shared" si="3"/>
        <v>TA2120</v>
      </c>
      <c r="C248" s="6" t="s">
        <v>541</v>
      </c>
      <c r="D248" s="6" t="s">
        <v>12</v>
      </c>
      <c r="E248" s="6" t="s">
        <v>13</v>
      </c>
      <c r="F248" s="6" t="s">
        <v>13</v>
      </c>
      <c r="G248" s="6" t="s">
        <v>88</v>
      </c>
      <c r="H248" s="7">
        <v>103.923</v>
      </c>
      <c r="I248" s="6" t="s">
        <v>88</v>
      </c>
      <c r="J248" s="7">
        <v>69.281999999999996</v>
      </c>
      <c r="K248" s="6"/>
      <c r="L248" s="6"/>
      <c r="M248" s="6" t="s">
        <v>97</v>
      </c>
      <c r="N248" s="7">
        <v>7.45</v>
      </c>
    </row>
    <row r="249" spans="1:14" x14ac:dyDescent="0.25">
      <c r="A249" s="6" t="s">
        <v>542</v>
      </c>
      <c r="B249" s="6" t="str">
        <f t="shared" si="3"/>
        <v>TA198A</v>
      </c>
      <c r="C249" s="6" t="s">
        <v>543</v>
      </c>
      <c r="D249" s="6" t="s">
        <v>12</v>
      </c>
      <c r="E249" s="6" t="s">
        <v>13</v>
      </c>
      <c r="F249" s="6" t="s">
        <v>13</v>
      </c>
      <c r="G249" s="6" t="s">
        <v>31</v>
      </c>
      <c r="H249" s="7">
        <v>33.07</v>
      </c>
      <c r="I249" s="6" t="s">
        <v>32</v>
      </c>
      <c r="J249" s="7">
        <v>28.45</v>
      </c>
      <c r="K249" s="6" t="s">
        <v>33</v>
      </c>
      <c r="L249" s="7">
        <v>73.59</v>
      </c>
      <c r="M249" s="6" t="s">
        <v>34</v>
      </c>
      <c r="N249" s="7">
        <v>3.56</v>
      </c>
    </row>
    <row r="250" spans="1:14" x14ac:dyDescent="0.25">
      <c r="A250" s="6" t="s">
        <v>544</v>
      </c>
      <c r="B250" s="6" t="str">
        <f t="shared" si="3"/>
        <v>TA1710</v>
      </c>
      <c r="C250" s="6" t="s">
        <v>545</v>
      </c>
      <c r="D250" s="6" t="s">
        <v>12</v>
      </c>
      <c r="E250" s="6" t="s">
        <v>13</v>
      </c>
      <c r="F250" s="6" t="s">
        <v>13</v>
      </c>
      <c r="G250" s="6" t="s">
        <v>43</v>
      </c>
      <c r="H250" s="7">
        <v>20</v>
      </c>
      <c r="I250" s="6" t="s">
        <v>44</v>
      </c>
      <c r="J250" s="7">
        <v>5</v>
      </c>
      <c r="K250" s="6"/>
      <c r="L250" s="6"/>
      <c r="M250" s="6"/>
      <c r="N250" s="6"/>
    </row>
    <row r="251" spans="1:14" x14ac:dyDescent="0.25">
      <c r="A251" s="6" t="s">
        <v>546</v>
      </c>
      <c r="B251" s="6" t="str">
        <f t="shared" si="3"/>
        <v>TA169A</v>
      </c>
      <c r="C251" s="6" t="s">
        <v>547</v>
      </c>
      <c r="D251" s="6" t="s">
        <v>12</v>
      </c>
      <c r="E251" s="6" t="s">
        <v>13</v>
      </c>
      <c r="F251" s="6" t="s">
        <v>13</v>
      </c>
      <c r="G251" s="6" t="s">
        <v>88</v>
      </c>
      <c r="H251" s="7">
        <v>62.09</v>
      </c>
      <c r="I251" s="6"/>
      <c r="J251" s="6"/>
      <c r="K251" s="6"/>
      <c r="L251" s="6"/>
      <c r="M251" s="6" t="s">
        <v>344</v>
      </c>
      <c r="N251" s="7">
        <v>1.43</v>
      </c>
    </row>
    <row r="252" spans="1:14" x14ac:dyDescent="0.25">
      <c r="A252" s="6" t="s">
        <v>548</v>
      </c>
      <c r="B252" s="6" t="str">
        <f t="shared" si="3"/>
        <v>TA2521</v>
      </c>
      <c r="C252" s="6" t="s">
        <v>531</v>
      </c>
      <c r="D252" s="6" t="s">
        <v>12</v>
      </c>
      <c r="E252" s="6" t="s">
        <v>13</v>
      </c>
      <c r="F252" s="6" t="s">
        <v>13</v>
      </c>
      <c r="G252" s="6" t="s">
        <v>51</v>
      </c>
      <c r="H252" s="7">
        <v>6.09</v>
      </c>
      <c r="I252" s="6" t="s">
        <v>52</v>
      </c>
      <c r="J252" s="7">
        <v>16.399999999999999</v>
      </c>
      <c r="K252" s="6" t="s">
        <v>53</v>
      </c>
      <c r="L252" s="7">
        <v>26.43</v>
      </c>
      <c r="M252" s="6" t="s">
        <v>28</v>
      </c>
      <c r="N252" s="7">
        <v>2.5299999999999998</v>
      </c>
    </row>
    <row r="253" spans="1:14" x14ac:dyDescent="0.25">
      <c r="A253" s="6" t="s">
        <v>549</v>
      </c>
      <c r="B253" s="6" t="str">
        <f t="shared" si="3"/>
        <v>TA172A</v>
      </c>
      <c r="C253" s="6" t="s">
        <v>550</v>
      </c>
      <c r="D253" s="6" t="s">
        <v>12</v>
      </c>
      <c r="E253" s="6" t="s">
        <v>13</v>
      </c>
      <c r="F253" s="6" t="s">
        <v>13</v>
      </c>
      <c r="G253" s="6" t="s">
        <v>25</v>
      </c>
      <c r="H253" s="7">
        <v>21.98</v>
      </c>
      <c r="I253" s="6" t="s">
        <v>26</v>
      </c>
      <c r="J253" s="7">
        <v>22.57</v>
      </c>
      <c r="K253" s="6" t="s">
        <v>27</v>
      </c>
      <c r="L253" s="7">
        <v>35.909999999999997</v>
      </c>
      <c r="M253" s="6" t="s">
        <v>28</v>
      </c>
      <c r="N253" s="7">
        <v>3.78</v>
      </c>
    </row>
    <row r="254" spans="1:14" x14ac:dyDescent="0.25">
      <c r="A254" s="6" t="s">
        <v>551</v>
      </c>
      <c r="B254" s="6" t="str">
        <f t="shared" si="3"/>
        <v>TA2532</v>
      </c>
      <c r="C254" s="6" t="s">
        <v>552</v>
      </c>
      <c r="D254" s="6" t="s">
        <v>12</v>
      </c>
      <c r="E254" s="6" t="s">
        <v>13</v>
      </c>
      <c r="F254" s="6" t="s">
        <v>13</v>
      </c>
      <c r="G254" s="6" t="s">
        <v>51</v>
      </c>
      <c r="H254" s="7">
        <v>13.83</v>
      </c>
      <c r="I254" s="6" t="s">
        <v>52</v>
      </c>
      <c r="J254" s="7">
        <v>30.06</v>
      </c>
      <c r="K254" s="6" t="s">
        <v>53</v>
      </c>
      <c r="L254" s="7">
        <v>34.97</v>
      </c>
      <c r="M254" s="6" t="s">
        <v>28</v>
      </c>
      <c r="N254" s="7">
        <v>3.84</v>
      </c>
    </row>
    <row r="255" spans="1:14" x14ac:dyDescent="0.25">
      <c r="A255" s="6" t="s">
        <v>553</v>
      </c>
      <c r="B255" s="6" t="str">
        <f t="shared" si="3"/>
        <v>TA2540</v>
      </c>
      <c r="C255" s="6" t="s">
        <v>554</v>
      </c>
      <c r="D255" s="6" t="s">
        <v>12</v>
      </c>
      <c r="E255" s="6" t="s">
        <v>13</v>
      </c>
      <c r="F255" s="6" t="s">
        <v>13</v>
      </c>
      <c r="G255" s="6" t="s">
        <v>43</v>
      </c>
      <c r="H255" s="7">
        <v>45.4</v>
      </c>
      <c r="I255" s="6" t="s">
        <v>44</v>
      </c>
      <c r="J255" s="7">
        <v>10.7</v>
      </c>
      <c r="K255" s="6"/>
      <c r="L255" s="6"/>
      <c r="M255" s="6"/>
      <c r="N255" s="6"/>
    </row>
    <row r="256" spans="1:14" x14ac:dyDescent="0.25">
      <c r="A256" s="6" t="s">
        <v>555</v>
      </c>
      <c r="B256" s="6" t="str">
        <f t="shared" si="3"/>
        <v>TA0500</v>
      </c>
      <c r="C256" s="6" t="s">
        <v>556</v>
      </c>
      <c r="D256" s="6" t="s">
        <v>12</v>
      </c>
      <c r="E256" s="6" t="s">
        <v>13</v>
      </c>
      <c r="F256" s="6" t="s">
        <v>13</v>
      </c>
      <c r="G256" s="6" t="s">
        <v>169</v>
      </c>
      <c r="H256" s="7">
        <v>23.64</v>
      </c>
      <c r="I256" s="6" t="s">
        <v>170</v>
      </c>
      <c r="J256" s="7">
        <v>13.92</v>
      </c>
      <c r="K256" s="6" t="s">
        <v>171</v>
      </c>
      <c r="L256" s="7">
        <v>50.42</v>
      </c>
      <c r="M256" s="6" t="s">
        <v>34</v>
      </c>
      <c r="N256" s="7">
        <v>2.16</v>
      </c>
    </row>
    <row r="257" spans="1:14" x14ac:dyDescent="0.25">
      <c r="A257" s="6" t="s">
        <v>557</v>
      </c>
      <c r="B257" s="6" t="str">
        <f t="shared" si="3"/>
        <v>TA0590</v>
      </c>
      <c r="C257" s="6" t="s">
        <v>558</v>
      </c>
      <c r="D257" s="6" t="s">
        <v>12</v>
      </c>
      <c r="E257" s="6" t="s">
        <v>13</v>
      </c>
      <c r="F257" s="6" t="s">
        <v>13</v>
      </c>
      <c r="G257" s="6" t="s">
        <v>130</v>
      </c>
      <c r="H257" s="7">
        <v>54.32</v>
      </c>
      <c r="I257" s="6"/>
      <c r="J257" s="6"/>
      <c r="K257" s="6"/>
      <c r="L257" s="6"/>
      <c r="M257" s="6"/>
      <c r="N257" s="6"/>
    </row>
    <row r="258" spans="1:14" x14ac:dyDescent="0.25">
      <c r="A258" s="6" t="s">
        <v>559</v>
      </c>
      <c r="B258" s="6" t="str">
        <f t="shared" ref="B258:B321" si="4">MID(A258,8,6)</f>
        <v>TA0610</v>
      </c>
      <c r="C258" s="6" t="s">
        <v>560</v>
      </c>
      <c r="D258" s="6" t="s">
        <v>12</v>
      </c>
      <c r="E258" s="6" t="s">
        <v>13</v>
      </c>
      <c r="F258" s="6" t="s">
        <v>13</v>
      </c>
      <c r="G258" s="6" t="s">
        <v>130</v>
      </c>
      <c r="H258" s="7">
        <v>65.959999999999994</v>
      </c>
      <c r="I258" s="6"/>
      <c r="J258" s="6"/>
      <c r="K258" s="6"/>
      <c r="L258" s="6"/>
      <c r="M258" s="6"/>
      <c r="N258" s="6"/>
    </row>
    <row r="259" spans="1:14" x14ac:dyDescent="0.25">
      <c r="A259" s="6" t="s">
        <v>561</v>
      </c>
      <c r="B259" s="6" t="str">
        <f t="shared" si="4"/>
        <v>NA1671</v>
      </c>
      <c r="C259" s="6" t="s">
        <v>562</v>
      </c>
      <c r="D259" s="6" t="s">
        <v>12</v>
      </c>
      <c r="E259" s="6" t="s">
        <v>13</v>
      </c>
      <c r="F259" s="6" t="s">
        <v>13</v>
      </c>
      <c r="G259" s="6" t="s">
        <v>183</v>
      </c>
      <c r="H259" s="7">
        <v>5.56</v>
      </c>
      <c r="I259" s="6" t="s">
        <v>200</v>
      </c>
      <c r="J259" s="7">
        <v>29.88</v>
      </c>
      <c r="K259" s="6"/>
      <c r="L259" s="6"/>
      <c r="M259" s="6"/>
      <c r="N259" s="6"/>
    </row>
    <row r="260" spans="1:14" x14ac:dyDescent="0.25">
      <c r="A260" s="6" t="s">
        <v>563</v>
      </c>
      <c r="B260" s="6" t="str">
        <f t="shared" si="4"/>
        <v>PM1050</v>
      </c>
      <c r="C260" s="6" t="s">
        <v>564</v>
      </c>
      <c r="D260" s="6" t="s">
        <v>12</v>
      </c>
      <c r="E260" s="6" t="s">
        <v>13</v>
      </c>
      <c r="F260" s="6" t="s">
        <v>13</v>
      </c>
      <c r="G260" s="6" t="s">
        <v>51</v>
      </c>
      <c r="H260" s="7">
        <v>13.7</v>
      </c>
      <c r="I260" s="6" t="s">
        <v>230</v>
      </c>
      <c r="J260" s="7">
        <v>46.21</v>
      </c>
      <c r="K260" s="6"/>
      <c r="L260" s="6"/>
      <c r="M260" s="6" t="s">
        <v>28</v>
      </c>
      <c r="N260" s="7">
        <v>0.86</v>
      </c>
    </row>
    <row r="261" spans="1:14" x14ac:dyDescent="0.25">
      <c r="A261" s="6" t="s">
        <v>565</v>
      </c>
      <c r="B261" s="6" t="str">
        <f t="shared" si="4"/>
        <v>HN0400</v>
      </c>
      <c r="C261" s="6" t="s">
        <v>566</v>
      </c>
      <c r="D261" s="6" t="s">
        <v>12</v>
      </c>
      <c r="E261" s="6" t="s">
        <v>13</v>
      </c>
      <c r="F261" s="6" t="s">
        <v>13</v>
      </c>
      <c r="G261" s="6" t="s">
        <v>182</v>
      </c>
      <c r="H261" s="7">
        <v>25</v>
      </c>
      <c r="I261" s="6" t="s">
        <v>183</v>
      </c>
      <c r="J261" s="7">
        <v>4.12</v>
      </c>
      <c r="K261" s="6"/>
      <c r="L261" s="6"/>
      <c r="M261" s="6"/>
      <c r="N261" s="6"/>
    </row>
    <row r="262" spans="1:14" x14ac:dyDescent="0.25">
      <c r="A262" s="6" t="s">
        <v>567</v>
      </c>
      <c r="B262" s="6" t="str">
        <f t="shared" si="4"/>
        <v>VL0080</v>
      </c>
      <c r="C262" s="6" t="s">
        <v>568</v>
      </c>
      <c r="D262" s="6" t="s">
        <v>12</v>
      </c>
      <c r="E262" s="6" t="s">
        <v>13</v>
      </c>
      <c r="F262" s="6" t="s">
        <v>13</v>
      </c>
      <c r="G262" s="6" t="s">
        <v>109</v>
      </c>
      <c r="H262" s="7">
        <v>17.66</v>
      </c>
      <c r="I262" s="6"/>
      <c r="J262" s="6"/>
      <c r="K262" s="6"/>
      <c r="L262" s="6"/>
      <c r="M262" s="6"/>
      <c r="N262" s="6"/>
    </row>
    <row r="263" spans="1:14" x14ac:dyDescent="0.25">
      <c r="A263" s="6" t="s">
        <v>569</v>
      </c>
      <c r="B263" s="6" t="str">
        <f t="shared" si="4"/>
        <v>VL0050</v>
      </c>
      <c r="C263" s="6" t="s">
        <v>570</v>
      </c>
      <c r="D263" s="6" t="s">
        <v>12</v>
      </c>
      <c r="E263" s="6" t="s">
        <v>13</v>
      </c>
      <c r="F263" s="6" t="s">
        <v>13</v>
      </c>
      <c r="G263" s="6" t="s">
        <v>109</v>
      </c>
      <c r="H263" s="7">
        <v>11.73</v>
      </c>
      <c r="I263" s="6"/>
      <c r="J263" s="6"/>
      <c r="K263" s="6"/>
      <c r="L263" s="6"/>
      <c r="M263" s="6"/>
      <c r="N263" s="6"/>
    </row>
    <row r="264" spans="1:14" x14ac:dyDescent="0.25">
      <c r="A264" s="6" t="s">
        <v>571</v>
      </c>
      <c r="B264" s="6" t="str">
        <f t="shared" si="4"/>
        <v>NA1650</v>
      </c>
      <c r="C264" s="6" t="s">
        <v>572</v>
      </c>
      <c r="D264" s="6" t="s">
        <v>12</v>
      </c>
      <c r="E264" s="6" t="s">
        <v>13</v>
      </c>
      <c r="F264" s="6" t="s">
        <v>13</v>
      </c>
      <c r="G264" s="6" t="s">
        <v>476</v>
      </c>
      <c r="H264" s="7">
        <v>150.06</v>
      </c>
      <c r="I264" s="6"/>
      <c r="J264" s="6"/>
      <c r="K264" s="6"/>
      <c r="L264" s="6"/>
      <c r="M264" s="6"/>
      <c r="N264" s="6"/>
    </row>
    <row r="265" spans="1:14" x14ac:dyDescent="0.25">
      <c r="A265" s="6" t="s">
        <v>573</v>
      </c>
      <c r="B265" s="6" t="str">
        <f t="shared" si="4"/>
        <v>NA1810</v>
      </c>
      <c r="C265" s="6" t="s">
        <v>574</v>
      </c>
      <c r="D265" s="6" t="s">
        <v>12</v>
      </c>
      <c r="E265" s="6" t="s">
        <v>13</v>
      </c>
      <c r="F265" s="6" t="s">
        <v>13</v>
      </c>
      <c r="G265" s="6" t="s">
        <v>130</v>
      </c>
      <c r="H265" s="7">
        <v>42</v>
      </c>
      <c r="I265" s="6"/>
      <c r="J265" s="6"/>
      <c r="K265" s="6"/>
      <c r="L265" s="6"/>
      <c r="M265" s="6"/>
      <c r="N265" s="6"/>
    </row>
    <row r="266" spans="1:14" x14ac:dyDescent="0.25">
      <c r="A266" s="6" t="s">
        <v>575</v>
      </c>
      <c r="B266" s="6" t="str">
        <f t="shared" si="4"/>
        <v>TA137A</v>
      </c>
      <c r="C266" s="6" t="s">
        <v>576</v>
      </c>
      <c r="D266" s="6" t="s">
        <v>12</v>
      </c>
      <c r="E266" s="6" t="s">
        <v>13</v>
      </c>
      <c r="F266" s="6" t="s">
        <v>13</v>
      </c>
      <c r="G266" s="6" t="s">
        <v>25</v>
      </c>
      <c r="H266" s="7">
        <v>3.99</v>
      </c>
      <c r="I266" s="6" t="s">
        <v>26</v>
      </c>
      <c r="J266" s="7">
        <v>11.19</v>
      </c>
      <c r="K266" s="6" t="s">
        <v>27</v>
      </c>
      <c r="L266" s="7">
        <v>11.21</v>
      </c>
      <c r="M266" s="6" t="s">
        <v>28</v>
      </c>
      <c r="N266" s="7">
        <v>1.44</v>
      </c>
    </row>
    <row r="267" spans="1:14" x14ac:dyDescent="0.25">
      <c r="A267" s="6" t="s">
        <v>577</v>
      </c>
      <c r="B267" s="6" t="str">
        <f t="shared" si="4"/>
        <v>TA105A</v>
      </c>
      <c r="C267" s="6" t="s">
        <v>578</v>
      </c>
      <c r="D267" s="6" t="s">
        <v>12</v>
      </c>
      <c r="E267" s="6" t="s">
        <v>13</v>
      </c>
      <c r="F267" s="6" t="s">
        <v>13</v>
      </c>
      <c r="G267" s="6" t="s">
        <v>96</v>
      </c>
      <c r="H267" s="7">
        <v>45.44</v>
      </c>
      <c r="I267" s="6"/>
      <c r="J267" s="6"/>
      <c r="K267" s="6"/>
      <c r="L267" s="6"/>
      <c r="M267" s="6" t="s">
        <v>89</v>
      </c>
      <c r="N267" s="7">
        <v>1.6</v>
      </c>
    </row>
    <row r="268" spans="1:14" x14ac:dyDescent="0.25">
      <c r="A268" s="6" t="s">
        <v>579</v>
      </c>
      <c r="B268" s="6" t="str">
        <f t="shared" si="4"/>
        <v>VL0070</v>
      </c>
      <c r="C268" s="6" t="s">
        <v>580</v>
      </c>
      <c r="D268" s="6" t="s">
        <v>12</v>
      </c>
      <c r="E268" s="6" t="s">
        <v>13</v>
      </c>
      <c r="F268" s="6" t="s">
        <v>13</v>
      </c>
      <c r="G268" s="6" t="s">
        <v>109</v>
      </c>
      <c r="H268" s="7">
        <v>8.11</v>
      </c>
      <c r="I268" s="6"/>
      <c r="J268" s="6"/>
      <c r="K268" s="6"/>
      <c r="L268" s="6"/>
      <c r="M268" s="6"/>
      <c r="N268" s="6"/>
    </row>
    <row r="269" spans="1:14" x14ac:dyDescent="0.25">
      <c r="A269" s="6" t="s">
        <v>581</v>
      </c>
      <c r="B269" s="6" t="str">
        <f t="shared" si="4"/>
        <v>NA1640</v>
      </c>
      <c r="C269" s="6" t="s">
        <v>582</v>
      </c>
      <c r="D269" s="6" t="s">
        <v>12</v>
      </c>
      <c r="E269" s="6" t="s">
        <v>13</v>
      </c>
      <c r="F269" s="6" t="s">
        <v>13</v>
      </c>
      <c r="G269" s="6" t="s">
        <v>476</v>
      </c>
      <c r="H269" s="7">
        <v>247.5</v>
      </c>
      <c r="I269" s="6"/>
      <c r="J269" s="6"/>
      <c r="K269" s="6"/>
      <c r="L269" s="6"/>
      <c r="M269" s="6"/>
      <c r="N269" s="6"/>
    </row>
    <row r="270" spans="1:14" x14ac:dyDescent="0.25">
      <c r="A270" s="6" t="s">
        <v>583</v>
      </c>
      <c r="B270" s="6" t="str">
        <f t="shared" si="4"/>
        <v>TA137A</v>
      </c>
      <c r="C270" s="6" t="s">
        <v>584</v>
      </c>
      <c r="D270" s="6" t="s">
        <v>12</v>
      </c>
      <c r="E270" s="6" t="s">
        <v>13</v>
      </c>
      <c r="F270" s="6" t="s">
        <v>13</v>
      </c>
      <c r="G270" s="6" t="s">
        <v>25</v>
      </c>
      <c r="H270" s="7">
        <v>10.56</v>
      </c>
      <c r="I270" s="6" t="s">
        <v>26</v>
      </c>
      <c r="J270" s="7">
        <v>29.59</v>
      </c>
      <c r="K270" s="6" t="s">
        <v>27</v>
      </c>
      <c r="L270" s="7">
        <v>29.65</v>
      </c>
      <c r="M270" s="6" t="s">
        <v>28</v>
      </c>
      <c r="N270" s="7">
        <v>3.8</v>
      </c>
    </row>
    <row r="271" spans="1:14" x14ac:dyDescent="0.25">
      <c r="A271" s="6" t="s">
        <v>585</v>
      </c>
      <c r="B271" s="6" t="str">
        <f t="shared" si="4"/>
        <v>TA104A</v>
      </c>
      <c r="C271" s="6" t="s">
        <v>586</v>
      </c>
      <c r="D271" s="6" t="s">
        <v>12</v>
      </c>
      <c r="E271" s="6" t="s">
        <v>13</v>
      </c>
      <c r="F271" s="6" t="s">
        <v>13</v>
      </c>
      <c r="G271" s="6" t="s">
        <v>96</v>
      </c>
      <c r="H271" s="7">
        <v>62.48</v>
      </c>
      <c r="I271" s="6"/>
      <c r="J271" s="6"/>
      <c r="K271" s="6"/>
      <c r="L271" s="6"/>
      <c r="M271" s="6" t="s">
        <v>89</v>
      </c>
      <c r="N271" s="7">
        <v>2.2000000000000002</v>
      </c>
    </row>
    <row r="272" spans="1:14" x14ac:dyDescent="0.25">
      <c r="A272" s="6" t="s">
        <v>587</v>
      </c>
      <c r="B272" s="6" t="str">
        <f t="shared" si="4"/>
        <v>TA0570</v>
      </c>
      <c r="C272" s="6" t="s">
        <v>588</v>
      </c>
      <c r="D272" s="6" t="s">
        <v>12</v>
      </c>
      <c r="E272" s="6" t="s">
        <v>13</v>
      </c>
      <c r="F272" s="6" t="s">
        <v>13</v>
      </c>
      <c r="G272" s="6" t="s">
        <v>589</v>
      </c>
      <c r="H272" s="7">
        <v>261.92</v>
      </c>
      <c r="I272" s="6"/>
      <c r="J272" s="6"/>
      <c r="K272" s="6"/>
      <c r="L272" s="6"/>
      <c r="M272" s="6"/>
      <c r="N272" s="6"/>
    </row>
    <row r="273" spans="1:14" x14ac:dyDescent="0.25">
      <c r="A273" s="6" t="s">
        <v>590</v>
      </c>
      <c r="B273" s="6" t="str">
        <f t="shared" si="4"/>
        <v>TA0630</v>
      </c>
      <c r="C273" s="6" t="s">
        <v>591</v>
      </c>
      <c r="D273" s="6" t="s">
        <v>12</v>
      </c>
      <c r="E273" s="6" t="s">
        <v>13</v>
      </c>
      <c r="F273" s="6" t="s">
        <v>13</v>
      </c>
      <c r="G273" s="6" t="s">
        <v>43</v>
      </c>
      <c r="H273" s="7">
        <v>50.28</v>
      </c>
      <c r="I273" s="6" t="s">
        <v>44</v>
      </c>
      <c r="J273" s="7">
        <v>9.91</v>
      </c>
      <c r="K273" s="6"/>
      <c r="L273" s="6"/>
      <c r="M273" s="6"/>
      <c r="N273" s="6"/>
    </row>
    <row r="274" spans="1:14" x14ac:dyDescent="0.25">
      <c r="A274" s="6" t="s">
        <v>592</v>
      </c>
      <c r="B274" s="6" t="str">
        <f t="shared" si="4"/>
        <v>TA0200</v>
      </c>
      <c r="C274" s="6" t="s">
        <v>593</v>
      </c>
      <c r="D274" s="6" t="s">
        <v>12</v>
      </c>
      <c r="E274" s="6" t="s">
        <v>13</v>
      </c>
      <c r="F274" s="6" t="s">
        <v>13</v>
      </c>
      <c r="G274" s="6" t="s">
        <v>178</v>
      </c>
      <c r="H274" s="7">
        <v>17</v>
      </c>
      <c r="I274" s="6" t="s">
        <v>179</v>
      </c>
      <c r="J274" s="7">
        <v>21.6</v>
      </c>
      <c r="K274" s="6"/>
      <c r="L274" s="6"/>
      <c r="M274" s="6" t="s">
        <v>34</v>
      </c>
      <c r="N274" s="7">
        <v>2.1</v>
      </c>
    </row>
    <row r="275" spans="1:14" x14ac:dyDescent="0.25">
      <c r="A275" s="6" t="s">
        <v>594</v>
      </c>
      <c r="B275" s="6" t="str">
        <f t="shared" si="4"/>
        <v>NA1760</v>
      </c>
      <c r="C275" s="6" t="s">
        <v>595</v>
      </c>
      <c r="D275" s="6" t="s">
        <v>12</v>
      </c>
      <c r="E275" s="6" t="s">
        <v>13</v>
      </c>
      <c r="F275" s="6" t="s">
        <v>13</v>
      </c>
      <c r="G275" s="6" t="s">
        <v>130</v>
      </c>
      <c r="H275" s="7">
        <v>52</v>
      </c>
      <c r="I275" s="6"/>
      <c r="J275" s="6"/>
      <c r="K275" s="6"/>
      <c r="L275" s="6"/>
      <c r="M275" s="6"/>
      <c r="N275" s="6"/>
    </row>
    <row r="276" spans="1:14" x14ac:dyDescent="0.25">
      <c r="A276" s="6" t="s">
        <v>596</v>
      </c>
      <c r="B276" s="6" t="str">
        <f t="shared" si="4"/>
        <v>NA1770</v>
      </c>
      <c r="C276" s="6" t="s">
        <v>597</v>
      </c>
      <c r="D276" s="6" t="s">
        <v>12</v>
      </c>
      <c r="E276" s="6" t="s">
        <v>13</v>
      </c>
      <c r="F276" s="6" t="s">
        <v>13</v>
      </c>
      <c r="G276" s="6" t="s">
        <v>130</v>
      </c>
      <c r="H276" s="7">
        <v>56</v>
      </c>
      <c r="I276" s="6"/>
      <c r="J276" s="6"/>
      <c r="K276" s="6"/>
      <c r="L276" s="6"/>
      <c r="M276" s="6"/>
      <c r="N276" s="6"/>
    </row>
    <row r="277" spans="1:14" x14ac:dyDescent="0.25">
      <c r="A277" s="6" t="s">
        <v>598</v>
      </c>
      <c r="B277" s="6" t="str">
        <f t="shared" si="4"/>
        <v>HN0160</v>
      </c>
      <c r="C277" s="6" t="s">
        <v>599</v>
      </c>
      <c r="D277" s="6" t="s">
        <v>12</v>
      </c>
      <c r="E277" s="6" t="s">
        <v>13</v>
      </c>
      <c r="F277" s="6" t="s">
        <v>13</v>
      </c>
      <c r="G277" s="6" t="s">
        <v>169</v>
      </c>
      <c r="H277" s="7">
        <v>14.44</v>
      </c>
      <c r="I277" s="6" t="s">
        <v>171</v>
      </c>
      <c r="J277" s="7">
        <v>52.12</v>
      </c>
      <c r="K277" s="6" t="s">
        <v>170</v>
      </c>
      <c r="L277" s="7">
        <v>24.53</v>
      </c>
      <c r="M277" s="6" t="s">
        <v>34</v>
      </c>
      <c r="N277" s="7">
        <v>2.12</v>
      </c>
    </row>
    <row r="278" spans="1:14" x14ac:dyDescent="0.25">
      <c r="A278" s="6" t="s">
        <v>600</v>
      </c>
      <c r="B278" s="6" t="str">
        <f t="shared" si="4"/>
        <v>TA137B</v>
      </c>
      <c r="C278" s="6" t="s">
        <v>601</v>
      </c>
      <c r="D278" s="6" t="s">
        <v>12</v>
      </c>
      <c r="E278" s="6" t="s">
        <v>13</v>
      </c>
      <c r="F278" s="6" t="s">
        <v>13</v>
      </c>
      <c r="G278" s="6" t="s">
        <v>51</v>
      </c>
      <c r="H278" s="7">
        <v>10.01</v>
      </c>
      <c r="I278" s="6" t="s">
        <v>52</v>
      </c>
      <c r="J278" s="7">
        <v>18.399999999999999</v>
      </c>
      <c r="K278" s="6" t="s">
        <v>53</v>
      </c>
      <c r="L278" s="7">
        <v>21.4</v>
      </c>
      <c r="M278" s="6" t="s">
        <v>28</v>
      </c>
      <c r="N278" s="7">
        <v>2.35</v>
      </c>
    </row>
    <row r="279" spans="1:14" x14ac:dyDescent="0.25">
      <c r="A279" s="6" t="s">
        <v>602</v>
      </c>
      <c r="B279" s="6" t="str">
        <f t="shared" si="4"/>
        <v>NA1662</v>
      </c>
      <c r="C279" s="6" t="s">
        <v>603</v>
      </c>
      <c r="D279" s="6" t="s">
        <v>12</v>
      </c>
      <c r="E279" s="6" t="s">
        <v>13</v>
      </c>
      <c r="F279" s="6" t="s">
        <v>13</v>
      </c>
      <c r="G279" s="6" t="s">
        <v>200</v>
      </c>
      <c r="H279" s="7">
        <v>40.200000000000003</v>
      </c>
      <c r="I279" s="6" t="s">
        <v>183</v>
      </c>
      <c r="J279" s="7">
        <v>7.3</v>
      </c>
      <c r="K279" s="6"/>
      <c r="L279" s="6"/>
      <c r="M279" s="6"/>
      <c r="N279" s="6"/>
    </row>
    <row r="280" spans="1:14" x14ac:dyDescent="0.25">
      <c r="A280" s="6" t="s">
        <v>604</v>
      </c>
      <c r="B280" s="6" t="str">
        <f t="shared" si="4"/>
        <v>NA1672</v>
      </c>
      <c r="C280" s="6" t="s">
        <v>605</v>
      </c>
      <c r="D280" s="6" t="s">
        <v>12</v>
      </c>
      <c r="E280" s="6" t="s">
        <v>13</v>
      </c>
      <c r="F280" s="6" t="s">
        <v>13</v>
      </c>
      <c r="G280" s="6" t="s">
        <v>200</v>
      </c>
      <c r="H280" s="7">
        <v>15.16</v>
      </c>
      <c r="I280" s="6" t="s">
        <v>183</v>
      </c>
      <c r="J280" s="7">
        <v>2.75</v>
      </c>
      <c r="K280" s="6"/>
      <c r="L280" s="6"/>
      <c r="M280" s="6"/>
      <c r="N280" s="6"/>
    </row>
    <row r="281" spans="1:14" x14ac:dyDescent="0.25">
      <c r="A281" s="6" t="s">
        <v>606</v>
      </c>
      <c r="B281" s="6" t="str">
        <f t="shared" si="4"/>
        <v>HN0140</v>
      </c>
      <c r="C281" s="6" t="s">
        <v>607</v>
      </c>
      <c r="D281" s="6" t="s">
        <v>12</v>
      </c>
      <c r="E281" s="6" t="s">
        <v>13</v>
      </c>
      <c r="F281" s="6" t="s">
        <v>13</v>
      </c>
      <c r="G281" s="6" t="s">
        <v>178</v>
      </c>
      <c r="H281" s="7">
        <v>16.059999999999999</v>
      </c>
      <c r="I281" s="6" t="s">
        <v>179</v>
      </c>
      <c r="J281" s="7">
        <v>20.420000000000002</v>
      </c>
      <c r="K281" s="6"/>
      <c r="L281" s="6"/>
      <c r="M281" s="6" t="s">
        <v>34</v>
      </c>
      <c r="N281" s="7">
        <v>1.97</v>
      </c>
    </row>
    <row r="282" spans="1:14" x14ac:dyDescent="0.25">
      <c r="A282" s="6" t="s">
        <v>608</v>
      </c>
      <c r="B282" s="6" t="str">
        <f t="shared" si="4"/>
        <v>HN0170</v>
      </c>
      <c r="C282" s="6" t="s">
        <v>609</v>
      </c>
      <c r="D282" s="6" t="s">
        <v>12</v>
      </c>
      <c r="E282" s="6" t="s">
        <v>13</v>
      </c>
      <c r="F282" s="6" t="s">
        <v>13</v>
      </c>
      <c r="G282" s="6" t="s">
        <v>169</v>
      </c>
      <c r="H282" s="7">
        <v>9.8800000000000008</v>
      </c>
      <c r="I282" s="6" t="s">
        <v>170</v>
      </c>
      <c r="J282" s="7">
        <v>16.78</v>
      </c>
      <c r="K282" s="6" t="s">
        <v>171</v>
      </c>
      <c r="L282" s="7">
        <v>35.67</v>
      </c>
      <c r="M282" s="6" t="s">
        <v>34</v>
      </c>
      <c r="N282" s="7">
        <v>1.45</v>
      </c>
    </row>
    <row r="283" spans="1:14" x14ac:dyDescent="0.25">
      <c r="A283" s="6" t="s">
        <v>610</v>
      </c>
      <c r="B283" s="6" t="str">
        <f t="shared" si="4"/>
        <v>HN0250</v>
      </c>
      <c r="C283" s="6" t="s">
        <v>611</v>
      </c>
      <c r="D283" s="6" t="s">
        <v>12</v>
      </c>
      <c r="E283" s="6" t="s">
        <v>13</v>
      </c>
      <c r="F283" s="6" t="s">
        <v>13</v>
      </c>
      <c r="G283" s="6" t="s">
        <v>169</v>
      </c>
      <c r="H283" s="7">
        <v>11.11</v>
      </c>
      <c r="I283" s="6" t="s">
        <v>171</v>
      </c>
      <c r="J283" s="7">
        <v>23.61</v>
      </c>
      <c r="K283" s="6" t="s">
        <v>170</v>
      </c>
      <c r="L283" s="7">
        <v>6.54</v>
      </c>
      <c r="M283" s="6" t="s">
        <v>34</v>
      </c>
      <c r="N283" s="7">
        <v>0.96</v>
      </c>
    </row>
    <row r="284" spans="1:14" x14ac:dyDescent="0.25">
      <c r="A284" s="6" t="s">
        <v>612</v>
      </c>
      <c r="B284" s="6" t="str">
        <f t="shared" si="4"/>
        <v>HN0280</v>
      </c>
      <c r="C284" s="6" t="s">
        <v>613</v>
      </c>
      <c r="D284" s="6" t="s">
        <v>12</v>
      </c>
      <c r="E284" s="6" t="s">
        <v>13</v>
      </c>
      <c r="F284" s="6" t="s">
        <v>13</v>
      </c>
      <c r="G284" s="6" t="s">
        <v>182</v>
      </c>
      <c r="H284" s="7">
        <v>18.239999999999998</v>
      </c>
      <c r="I284" s="6" t="s">
        <v>183</v>
      </c>
      <c r="J284" s="7">
        <v>3.01</v>
      </c>
      <c r="K284" s="6"/>
      <c r="L284" s="6"/>
      <c r="M284" s="6"/>
      <c r="N284" s="6"/>
    </row>
    <row r="285" spans="1:14" x14ac:dyDescent="0.25">
      <c r="A285" s="6" t="s">
        <v>614</v>
      </c>
      <c r="B285" s="6" t="str">
        <f t="shared" si="4"/>
        <v>VL0060</v>
      </c>
      <c r="C285" s="6" t="s">
        <v>615</v>
      </c>
      <c r="D285" s="6" t="s">
        <v>12</v>
      </c>
      <c r="E285" s="6" t="s">
        <v>13</v>
      </c>
      <c r="F285" s="6" t="s">
        <v>13</v>
      </c>
      <c r="G285" s="6" t="s">
        <v>109</v>
      </c>
      <c r="H285" s="7">
        <v>21.51</v>
      </c>
      <c r="I285" s="6"/>
      <c r="J285" s="6"/>
      <c r="K285" s="6"/>
      <c r="L285" s="6"/>
      <c r="M285" s="6"/>
      <c r="N285" s="6"/>
    </row>
    <row r="286" spans="1:14" x14ac:dyDescent="0.25">
      <c r="A286" s="6" t="s">
        <v>616</v>
      </c>
      <c r="B286" s="6" t="str">
        <f t="shared" si="4"/>
        <v>NA1801</v>
      </c>
      <c r="C286" s="6" t="s">
        <v>617</v>
      </c>
      <c r="D286" s="6" t="s">
        <v>12</v>
      </c>
      <c r="E286" s="6" t="s">
        <v>13</v>
      </c>
      <c r="F286" s="6" t="s">
        <v>13</v>
      </c>
      <c r="G286" s="6" t="s">
        <v>200</v>
      </c>
      <c r="H286" s="7">
        <v>17.329999999999998</v>
      </c>
      <c r="I286" s="6" t="s">
        <v>183</v>
      </c>
      <c r="J286" s="7">
        <v>3.15</v>
      </c>
      <c r="K286" s="6"/>
      <c r="L286" s="6"/>
      <c r="M286" s="6"/>
      <c r="N286" s="6"/>
    </row>
    <row r="287" spans="1:14" x14ac:dyDescent="0.25">
      <c r="A287" s="6" t="s">
        <v>618</v>
      </c>
      <c r="B287" s="6" t="str">
        <f t="shared" si="4"/>
        <v>HN0150</v>
      </c>
      <c r="C287" s="6" t="s">
        <v>619</v>
      </c>
      <c r="D287" s="6" t="s">
        <v>12</v>
      </c>
      <c r="E287" s="6" t="s">
        <v>13</v>
      </c>
      <c r="F287" s="6" t="s">
        <v>13</v>
      </c>
      <c r="G287" s="6" t="s">
        <v>169</v>
      </c>
      <c r="H287" s="7">
        <v>20.39</v>
      </c>
      <c r="I287" s="6" t="s">
        <v>170</v>
      </c>
      <c r="J287" s="7">
        <v>12.01</v>
      </c>
      <c r="K287" s="6" t="s">
        <v>171</v>
      </c>
      <c r="L287" s="7">
        <v>43.33</v>
      </c>
      <c r="M287" s="6" t="s">
        <v>34</v>
      </c>
      <c r="N287" s="7">
        <v>1.76</v>
      </c>
    </row>
    <row r="288" spans="1:14" x14ac:dyDescent="0.25">
      <c r="A288" s="6" t="s">
        <v>620</v>
      </c>
      <c r="B288" s="6" t="str">
        <f t="shared" si="4"/>
        <v>HN0240</v>
      </c>
      <c r="C288" s="6" t="s">
        <v>621</v>
      </c>
      <c r="D288" s="6" t="s">
        <v>12</v>
      </c>
      <c r="E288" s="6" t="s">
        <v>13</v>
      </c>
      <c r="F288" s="6" t="s">
        <v>13</v>
      </c>
      <c r="G288" s="6" t="s">
        <v>170</v>
      </c>
      <c r="H288" s="7">
        <v>5.25</v>
      </c>
      <c r="I288" s="6" t="s">
        <v>169</v>
      </c>
      <c r="J288" s="7">
        <v>8.92</v>
      </c>
      <c r="K288" s="6" t="s">
        <v>171</v>
      </c>
      <c r="L288" s="7">
        <v>18.97</v>
      </c>
      <c r="M288" s="6" t="s">
        <v>34</v>
      </c>
      <c r="N288" s="7">
        <v>0.77</v>
      </c>
    </row>
    <row r="289" spans="1:14" x14ac:dyDescent="0.25">
      <c r="A289" s="6" t="s">
        <v>622</v>
      </c>
      <c r="B289" s="6" t="str">
        <f t="shared" si="4"/>
        <v>NA1280</v>
      </c>
      <c r="C289" s="6" t="s">
        <v>623</v>
      </c>
      <c r="D289" s="6" t="s">
        <v>12</v>
      </c>
      <c r="E289" s="6" t="s">
        <v>13</v>
      </c>
      <c r="F289" s="6" t="s">
        <v>13</v>
      </c>
      <c r="G289" s="6" t="s">
        <v>200</v>
      </c>
      <c r="H289" s="7">
        <v>24.88</v>
      </c>
      <c r="I289" s="6" t="s">
        <v>183</v>
      </c>
      <c r="J289" s="7">
        <v>6.22</v>
      </c>
      <c r="K289" s="6"/>
      <c r="L289" s="6"/>
      <c r="M289" s="6"/>
      <c r="N289" s="6"/>
    </row>
    <row r="290" spans="1:14" x14ac:dyDescent="0.25">
      <c r="A290" s="6" t="s">
        <v>624</v>
      </c>
      <c r="B290" s="6" t="str">
        <f t="shared" si="4"/>
        <v>VL0030</v>
      </c>
      <c r="C290" s="6" t="s">
        <v>625</v>
      </c>
      <c r="D290" s="6" t="s">
        <v>12</v>
      </c>
      <c r="E290" s="6" t="s">
        <v>13</v>
      </c>
      <c r="F290" s="6" t="s">
        <v>13</v>
      </c>
      <c r="G290" s="6" t="s">
        <v>109</v>
      </c>
      <c r="H290" s="7">
        <v>11.73</v>
      </c>
      <c r="I290" s="6"/>
      <c r="J290" s="6"/>
      <c r="K290" s="6"/>
      <c r="L290" s="6"/>
      <c r="M290" s="6"/>
      <c r="N290" s="6"/>
    </row>
    <row r="291" spans="1:14" x14ac:dyDescent="0.25">
      <c r="A291" s="6" t="s">
        <v>626</v>
      </c>
      <c r="B291" s="6" t="str">
        <f t="shared" si="4"/>
        <v>NA1680</v>
      </c>
      <c r="C291" s="6" t="s">
        <v>627</v>
      </c>
      <c r="D291" s="6" t="s">
        <v>12</v>
      </c>
      <c r="E291" s="6" t="s">
        <v>13</v>
      </c>
      <c r="F291" s="6" t="s">
        <v>13</v>
      </c>
      <c r="G291" s="6" t="s">
        <v>85</v>
      </c>
      <c r="H291" s="7">
        <v>80.39</v>
      </c>
      <c r="I291" s="6" t="s">
        <v>44</v>
      </c>
      <c r="J291" s="7">
        <v>17.46</v>
      </c>
      <c r="K291" s="6"/>
      <c r="L291" s="6"/>
      <c r="M291" s="6"/>
      <c r="N291" s="6"/>
    </row>
    <row r="292" spans="1:14" x14ac:dyDescent="0.25">
      <c r="A292" s="6" t="s">
        <v>628</v>
      </c>
      <c r="B292" s="6" t="str">
        <f t="shared" si="4"/>
        <v>NA1270</v>
      </c>
      <c r="C292" s="6" t="s">
        <v>629</v>
      </c>
      <c r="D292" s="6" t="s">
        <v>12</v>
      </c>
      <c r="E292" s="6" t="s">
        <v>13</v>
      </c>
      <c r="F292" s="6" t="s">
        <v>13</v>
      </c>
      <c r="G292" s="6" t="s">
        <v>200</v>
      </c>
      <c r="H292" s="7">
        <v>25.24</v>
      </c>
      <c r="I292" s="6" t="s">
        <v>183</v>
      </c>
      <c r="J292" s="7">
        <v>4.59</v>
      </c>
      <c r="K292" s="6"/>
      <c r="L292" s="6"/>
      <c r="M292" s="6"/>
      <c r="N292" s="6"/>
    </row>
    <row r="293" spans="1:14" x14ac:dyDescent="0.25">
      <c r="A293" s="6" t="s">
        <v>630</v>
      </c>
      <c r="B293" s="6" t="str">
        <f t="shared" si="4"/>
        <v>PM1041</v>
      </c>
      <c r="C293" s="6" t="s">
        <v>631</v>
      </c>
      <c r="D293" s="6" t="s">
        <v>12</v>
      </c>
      <c r="E293" s="6" t="s">
        <v>13</v>
      </c>
      <c r="F293" s="6" t="s">
        <v>13</v>
      </c>
      <c r="G293" s="6" t="s">
        <v>51</v>
      </c>
      <c r="H293" s="7">
        <v>27.94</v>
      </c>
      <c r="I293" s="6" t="s">
        <v>230</v>
      </c>
      <c r="J293" s="7">
        <v>60.52</v>
      </c>
      <c r="K293" s="6"/>
      <c r="L293" s="6"/>
      <c r="M293" s="6" t="s">
        <v>28</v>
      </c>
      <c r="N293" s="7">
        <v>3.93</v>
      </c>
    </row>
    <row r="294" spans="1:14" x14ac:dyDescent="0.25">
      <c r="A294" s="6" t="s">
        <v>632</v>
      </c>
      <c r="B294" s="6" t="str">
        <f t="shared" si="4"/>
        <v>TA0640</v>
      </c>
      <c r="C294" s="6" t="s">
        <v>633</v>
      </c>
      <c r="D294" s="6" t="s">
        <v>12</v>
      </c>
      <c r="E294" s="6" t="s">
        <v>13</v>
      </c>
      <c r="F294" s="6" t="s">
        <v>13</v>
      </c>
      <c r="G294" s="6" t="s">
        <v>43</v>
      </c>
      <c r="H294" s="7">
        <v>42.41</v>
      </c>
      <c r="I294" s="6" t="s">
        <v>44</v>
      </c>
      <c r="J294" s="7">
        <v>10.01</v>
      </c>
      <c r="K294" s="6"/>
      <c r="L294" s="6"/>
      <c r="M294" s="6"/>
      <c r="N294" s="6"/>
    </row>
    <row r="295" spans="1:14" x14ac:dyDescent="0.25">
      <c r="A295" s="6" t="s">
        <v>634</v>
      </c>
      <c r="B295" s="6" t="str">
        <f t="shared" si="4"/>
        <v>PM105A</v>
      </c>
      <c r="C295" s="6" t="s">
        <v>635</v>
      </c>
      <c r="D295" s="6" t="s">
        <v>12</v>
      </c>
      <c r="E295" s="6" t="s">
        <v>13</v>
      </c>
      <c r="F295" s="6" t="s">
        <v>13</v>
      </c>
      <c r="G295" s="6" t="s">
        <v>51</v>
      </c>
      <c r="H295" s="7">
        <v>9.26</v>
      </c>
      <c r="I295" s="6" t="s">
        <v>230</v>
      </c>
      <c r="J295" s="7">
        <v>34.840000000000003</v>
      </c>
      <c r="K295" s="6"/>
      <c r="L295" s="6"/>
      <c r="M295" s="6" t="s">
        <v>28</v>
      </c>
      <c r="N295" s="7">
        <v>2.0299999999999998</v>
      </c>
    </row>
    <row r="296" spans="1:14" x14ac:dyDescent="0.25">
      <c r="A296" s="6" t="s">
        <v>636</v>
      </c>
      <c r="B296" s="6" t="str">
        <f t="shared" si="4"/>
        <v>NA1630</v>
      </c>
      <c r="C296" s="6" t="s">
        <v>637</v>
      </c>
      <c r="D296" s="6" t="s">
        <v>12</v>
      </c>
      <c r="E296" s="6" t="s">
        <v>13</v>
      </c>
      <c r="F296" s="6" t="s">
        <v>13</v>
      </c>
      <c r="G296" s="6" t="s">
        <v>200</v>
      </c>
      <c r="H296" s="7">
        <v>66.959999999999994</v>
      </c>
      <c r="I296" s="6" t="s">
        <v>183</v>
      </c>
      <c r="J296" s="7">
        <v>9.59</v>
      </c>
      <c r="K296" s="6"/>
      <c r="L296" s="6"/>
      <c r="M296" s="6"/>
      <c r="N296" s="6"/>
    </row>
    <row r="297" spans="1:14" x14ac:dyDescent="0.25">
      <c r="A297" s="6" t="s">
        <v>638</v>
      </c>
      <c r="B297" s="6" t="str">
        <f t="shared" si="4"/>
        <v>NS0020</v>
      </c>
      <c r="C297" s="6" t="s">
        <v>639</v>
      </c>
      <c r="D297" s="6" t="s">
        <v>12</v>
      </c>
      <c r="E297" s="6" t="s">
        <v>13</v>
      </c>
      <c r="F297" s="6" t="s">
        <v>13</v>
      </c>
      <c r="G297" s="6" t="s">
        <v>109</v>
      </c>
      <c r="H297" s="7">
        <v>28.3</v>
      </c>
      <c r="I297" s="6"/>
      <c r="J297" s="6"/>
      <c r="K297" s="6"/>
      <c r="L297" s="6"/>
      <c r="M297" s="6"/>
      <c r="N297" s="6"/>
    </row>
    <row r="298" spans="1:14" x14ac:dyDescent="0.25">
      <c r="A298" s="6" t="s">
        <v>640</v>
      </c>
      <c r="B298" s="6" t="str">
        <f t="shared" si="4"/>
        <v>NA1661</v>
      </c>
      <c r="C298" s="6" t="s">
        <v>641</v>
      </c>
      <c r="D298" s="6" t="s">
        <v>12</v>
      </c>
      <c r="E298" s="6" t="s">
        <v>13</v>
      </c>
      <c r="F298" s="6" t="s">
        <v>13</v>
      </c>
      <c r="G298" s="6" t="s">
        <v>183</v>
      </c>
      <c r="H298" s="7">
        <v>7.31</v>
      </c>
      <c r="I298" s="6" t="s">
        <v>200</v>
      </c>
      <c r="J298" s="7">
        <v>40.19</v>
      </c>
      <c r="K298" s="6"/>
      <c r="L298" s="6"/>
      <c r="M298" s="6"/>
      <c r="N298" s="6"/>
    </row>
    <row r="299" spans="1:14" x14ac:dyDescent="0.25">
      <c r="A299" s="6" t="s">
        <v>642</v>
      </c>
      <c r="B299" s="6" t="str">
        <f t="shared" si="4"/>
        <v>NA1802</v>
      </c>
      <c r="C299" s="6" t="s">
        <v>643</v>
      </c>
      <c r="D299" s="6" t="s">
        <v>12</v>
      </c>
      <c r="E299" s="6" t="s">
        <v>13</v>
      </c>
      <c r="F299" s="6" t="s">
        <v>13</v>
      </c>
      <c r="G299" s="6" t="s">
        <v>200</v>
      </c>
      <c r="H299" s="7">
        <v>15.25</v>
      </c>
      <c r="I299" s="6" t="s">
        <v>183</v>
      </c>
      <c r="J299" s="7">
        <v>2.77</v>
      </c>
      <c r="K299" s="6"/>
      <c r="L299" s="6"/>
      <c r="M299" s="6"/>
      <c r="N299" s="6"/>
    </row>
    <row r="300" spans="1:14" x14ac:dyDescent="0.25">
      <c r="A300" s="6" t="s">
        <v>644</v>
      </c>
      <c r="B300" s="6" t="str">
        <f t="shared" si="4"/>
        <v>HN0220</v>
      </c>
      <c r="C300" s="6" t="s">
        <v>645</v>
      </c>
      <c r="D300" s="6" t="s">
        <v>12</v>
      </c>
      <c r="E300" s="6" t="s">
        <v>13</v>
      </c>
      <c r="F300" s="6" t="s">
        <v>13</v>
      </c>
      <c r="G300" s="6" t="s">
        <v>178</v>
      </c>
      <c r="H300" s="7">
        <v>15.05</v>
      </c>
      <c r="I300" s="6" t="s">
        <v>179</v>
      </c>
      <c r="J300" s="7">
        <v>19.14</v>
      </c>
      <c r="K300" s="6"/>
      <c r="L300" s="6"/>
      <c r="M300" s="6" t="s">
        <v>34</v>
      </c>
      <c r="N300" s="7">
        <v>1.85</v>
      </c>
    </row>
    <row r="301" spans="1:14" x14ac:dyDescent="0.25">
      <c r="A301" s="6" t="s">
        <v>646</v>
      </c>
      <c r="B301" s="6" t="str">
        <f t="shared" si="4"/>
        <v>HN0230</v>
      </c>
      <c r="C301" s="6" t="s">
        <v>647</v>
      </c>
      <c r="D301" s="6" t="s">
        <v>12</v>
      </c>
      <c r="E301" s="6" t="s">
        <v>13</v>
      </c>
      <c r="F301" s="6" t="s">
        <v>13</v>
      </c>
      <c r="G301" s="6" t="s">
        <v>178</v>
      </c>
      <c r="H301" s="7">
        <v>15.05</v>
      </c>
      <c r="I301" s="6" t="s">
        <v>179</v>
      </c>
      <c r="J301" s="7">
        <v>19.14</v>
      </c>
      <c r="K301" s="6"/>
      <c r="L301" s="6"/>
      <c r="M301" s="6" t="s">
        <v>34</v>
      </c>
      <c r="N301" s="7">
        <v>1.85</v>
      </c>
    </row>
    <row r="302" spans="1:14" x14ac:dyDescent="0.25">
      <c r="A302" s="6" t="s">
        <v>648</v>
      </c>
      <c r="B302" s="6" t="str">
        <f t="shared" si="4"/>
        <v>HN0290</v>
      </c>
      <c r="C302" s="6" t="s">
        <v>649</v>
      </c>
      <c r="D302" s="6" t="s">
        <v>12</v>
      </c>
      <c r="E302" s="6" t="s">
        <v>13</v>
      </c>
      <c r="F302" s="6" t="s">
        <v>13</v>
      </c>
      <c r="G302" s="6" t="s">
        <v>182</v>
      </c>
      <c r="H302" s="7">
        <v>27.54</v>
      </c>
      <c r="I302" s="6" t="s">
        <v>183</v>
      </c>
      <c r="J302" s="7">
        <v>4.53</v>
      </c>
      <c r="K302" s="6"/>
      <c r="L302" s="6"/>
      <c r="M302" s="6"/>
      <c r="N302" s="6"/>
    </row>
    <row r="303" spans="1:14" x14ac:dyDescent="0.25">
      <c r="A303" s="6" t="s">
        <v>650</v>
      </c>
      <c r="B303" s="6" t="str">
        <f t="shared" si="4"/>
        <v>PM1042</v>
      </c>
      <c r="C303" s="6" t="s">
        <v>651</v>
      </c>
      <c r="D303" s="6" t="s">
        <v>12</v>
      </c>
      <c r="E303" s="6" t="s">
        <v>13</v>
      </c>
      <c r="F303" s="6" t="s">
        <v>13</v>
      </c>
      <c r="G303" s="6" t="s">
        <v>51</v>
      </c>
      <c r="H303" s="7">
        <v>12.4</v>
      </c>
      <c r="I303" s="6" t="s">
        <v>230</v>
      </c>
      <c r="J303" s="7">
        <v>55.58</v>
      </c>
      <c r="K303" s="6"/>
      <c r="L303" s="6"/>
      <c r="M303" s="6" t="s">
        <v>231</v>
      </c>
      <c r="N303" s="7">
        <v>3.28</v>
      </c>
    </row>
    <row r="304" spans="1:14" x14ac:dyDescent="0.25">
      <c r="A304" s="6" t="s">
        <v>652</v>
      </c>
      <c r="B304" s="6" t="str">
        <f t="shared" si="4"/>
        <v>HN0180</v>
      </c>
      <c r="C304" s="6" t="s">
        <v>653</v>
      </c>
      <c r="D304" s="6" t="s">
        <v>12</v>
      </c>
      <c r="E304" s="6" t="s">
        <v>13</v>
      </c>
      <c r="F304" s="6" t="s">
        <v>13</v>
      </c>
      <c r="G304" s="6" t="s">
        <v>178</v>
      </c>
      <c r="H304" s="7">
        <v>23.21</v>
      </c>
      <c r="I304" s="6" t="s">
        <v>179</v>
      </c>
      <c r="J304" s="7">
        <v>27.37</v>
      </c>
      <c r="K304" s="6"/>
      <c r="L304" s="6"/>
      <c r="M304" s="6" t="s">
        <v>34</v>
      </c>
      <c r="N304" s="7">
        <v>1.88</v>
      </c>
    </row>
    <row r="305" spans="1:14" x14ac:dyDescent="0.25">
      <c r="A305" s="6" t="s">
        <v>654</v>
      </c>
      <c r="B305" s="6" t="str">
        <f t="shared" si="4"/>
        <v>VL0090</v>
      </c>
      <c r="C305" s="6" t="s">
        <v>655</v>
      </c>
      <c r="D305" s="6" t="s">
        <v>12</v>
      </c>
      <c r="E305" s="6" t="s">
        <v>13</v>
      </c>
      <c r="F305" s="6" t="s">
        <v>13</v>
      </c>
      <c r="G305" s="6" t="s">
        <v>96</v>
      </c>
      <c r="H305" s="7">
        <v>1671</v>
      </c>
      <c r="I305" s="6"/>
      <c r="J305" s="6"/>
      <c r="K305" s="6"/>
      <c r="L305" s="6"/>
      <c r="M305" s="6"/>
      <c r="N305" s="6"/>
    </row>
    <row r="306" spans="1:14" x14ac:dyDescent="0.25">
      <c r="A306" s="6" t="s">
        <v>656</v>
      </c>
      <c r="B306" s="6" t="str">
        <f t="shared" si="4"/>
        <v>NA1360</v>
      </c>
      <c r="C306" s="6" t="s">
        <v>657</v>
      </c>
      <c r="D306" s="6" t="s">
        <v>12</v>
      </c>
      <c r="E306" s="6" t="s">
        <v>13</v>
      </c>
      <c r="F306" s="6" t="s">
        <v>13</v>
      </c>
      <c r="G306" s="6" t="s">
        <v>200</v>
      </c>
      <c r="H306" s="7">
        <v>13.55</v>
      </c>
      <c r="I306" s="6" t="s">
        <v>183</v>
      </c>
      <c r="J306" s="7">
        <v>3.39</v>
      </c>
      <c r="K306" s="6"/>
      <c r="L306" s="6"/>
      <c r="M306" s="6"/>
      <c r="N306" s="6"/>
    </row>
    <row r="307" spans="1:14" x14ac:dyDescent="0.25">
      <c r="A307" s="6" t="s">
        <v>658</v>
      </c>
      <c r="B307" s="6" t="str">
        <f t="shared" si="4"/>
        <v>NA1370</v>
      </c>
      <c r="C307" s="6" t="s">
        <v>659</v>
      </c>
      <c r="D307" s="6" t="s">
        <v>12</v>
      </c>
      <c r="E307" s="6" t="s">
        <v>13</v>
      </c>
      <c r="F307" s="6" t="s">
        <v>13</v>
      </c>
      <c r="G307" s="6" t="s">
        <v>200</v>
      </c>
      <c r="H307" s="7">
        <v>20.94</v>
      </c>
      <c r="I307" s="6" t="s">
        <v>183</v>
      </c>
      <c r="J307" s="7">
        <v>5.24</v>
      </c>
      <c r="K307" s="6"/>
      <c r="L307" s="6"/>
      <c r="M307" s="6"/>
      <c r="N307" s="6"/>
    </row>
    <row r="308" spans="1:14" x14ac:dyDescent="0.25">
      <c r="A308" s="6" t="s">
        <v>660</v>
      </c>
      <c r="B308" s="6" t="str">
        <f t="shared" si="4"/>
        <v>HN0200</v>
      </c>
      <c r="C308" s="6" t="s">
        <v>661</v>
      </c>
      <c r="D308" s="6" t="s">
        <v>12</v>
      </c>
      <c r="E308" s="6" t="s">
        <v>13</v>
      </c>
      <c r="F308" s="6" t="s">
        <v>13</v>
      </c>
      <c r="G308" s="6" t="s">
        <v>178</v>
      </c>
      <c r="H308" s="7">
        <v>22.4</v>
      </c>
      <c r="I308" s="6" t="s">
        <v>179</v>
      </c>
      <c r="J308" s="7">
        <v>26.42</v>
      </c>
      <c r="K308" s="6"/>
      <c r="L308" s="6"/>
      <c r="M308" s="6" t="s">
        <v>34</v>
      </c>
      <c r="N308" s="7">
        <v>1.81</v>
      </c>
    </row>
    <row r="309" spans="1:14" x14ac:dyDescent="0.25">
      <c r="A309" s="6" t="s">
        <v>662</v>
      </c>
      <c r="B309" s="6" t="str">
        <f t="shared" si="4"/>
        <v>HN0190</v>
      </c>
      <c r="C309" s="6" t="s">
        <v>663</v>
      </c>
      <c r="D309" s="6" t="s">
        <v>12</v>
      </c>
      <c r="E309" s="6" t="s">
        <v>13</v>
      </c>
      <c r="F309" s="6" t="s">
        <v>13</v>
      </c>
      <c r="G309" s="6" t="s">
        <v>178</v>
      </c>
      <c r="H309" s="7">
        <v>27.14</v>
      </c>
      <c r="I309" s="6" t="s">
        <v>179</v>
      </c>
      <c r="J309" s="7">
        <v>32.01</v>
      </c>
      <c r="K309" s="6"/>
      <c r="L309" s="6"/>
      <c r="M309" s="6" t="s">
        <v>34</v>
      </c>
      <c r="N309" s="7">
        <v>2.2000000000000002</v>
      </c>
    </row>
    <row r="310" spans="1:14" x14ac:dyDescent="0.25">
      <c r="A310" s="6" t="s">
        <v>664</v>
      </c>
      <c r="B310" s="6" t="str">
        <f t="shared" si="4"/>
        <v>HN0210</v>
      </c>
      <c r="C310" s="6" t="s">
        <v>665</v>
      </c>
      <c r="D310" s="6" t="s">
        <v>12</v>
      </c>
      <c r="E310" s="6" t="s">
        <v>13</v>
      </c>
      <c r="F310" s="6" t="s">
        <v>13</v>
      </c>
      <c r="G310" s="6" t="s">
        <v>178</v>
      </c>
      <c r="H310" s="7">
        <v>22.48</v>
      </c>
      <c r="I310" s="6" t="s">
        <v>179</v>
      </c>
      <c r="J310" s="7">
        <v>26.52</v>
      </c>
      <c r="K310" s="6"/>
      <c r="L310" s="6"/>
      <c r="M310" s="6" t="s">
        <v>34</v>
      </c>
      <c r="N310" s="7">
        <v>1.82</v>
      </c>
    </row>
    <row r="311" spans="1:14" x14ac:dyDescent="0.25">
      <c r="A311" s="6" t="s">
        <v>666</v>
      </c>
      <c r="B311" s="6" t="str">
        <f t="shared" si="4"/>
        <v>HN0270</v>
      </c>
      <c r="C311" s="6" t="s">
        <v>667</v>
      </c>
      <c r="D311" s="6" t="s">
        <v>12</v>
      </c>
      <c r="E311" s="6" t="s">
        <v>13</v>
      </c>
      <c r="F311" s="6" t="s">
        <v>13</v>
      </c>
      <c r="G311" s="6" t="s">
        <v>182</v>
      </c>
      <c r="H311" s="7">
        <v>5.08</v>
      </c>
      <c r="I311" s="6" t="s">
        <v>183</v>
      </c>
      <c r="J311" s="7">
        <v>0.84</v>
      </c>
      <c r="K311" s="6"/>
      <c r="L311" s="6"/>
      <c r="M311" s="6"/>
      <c r="N311" s="6"/>
    </row>
    <row r="312" spans="1:14" x14ac:dyDescent="0.25">
      <c r="A312" s="6" t="s">
        <v>668</v>
      </c>
      <c r="B312" s="6" t="str">
        <f t="shared" si="4"/>
        <v>TA0580</v>
      </c>
      <c r="C312" s="6" t="s">
        <v>669</v>
      </c>
      <c r="D312" s="6" t="s">
        <v>12</v>
      </c>
      <c r="E312" s="6" t="s">
        <v>13</v>
      </c>
      <c r="F312" s="6" t="s">
        <v>13</v>
      </c>
      <c r="G312" s="6" t="s">
        <v>536</v>
      </c>
      <c r="H312" s="7">
        <v>24.81</v>
      </c>
      <c r="I312" s="6" t="s">
        <v>537</v>
      </c>
      <c r="J312" s="7">
        <v>4.9400000000000004</v>
      </c>
      <c r="K312" s="6"/>
      <c r="L312" s="6"/>
      <c r="M312" s="6"/>
      <c r="N312" s="6"/>
    </row>
    <row r="313" spans="1:14" x14ac:dyDescent="0.25">
      <c r="A313" s="6" t="s">
        <v>670</v>
      </c>
      <c r="B313" s="6" t="str">
        <f t="shared" si="4"/>
        <v>NA1690</v>
      </c>
      <c r="C313" s="6" t="s">
        <v>671</v>
      </c>
      <c r="D313" s="6" t="s">
        <v>12</v>
      </c>
      <c r="E313" s="6" t="s">
        <v>13</v>
      </c>
      <c r="F313" s="6" t="s">
        <v>13</v>
      </c>
      <c r="G313" s="6" t="s">
        <v>200</v>
      </c>
      <c r="H313" s="7">
        <v>17.670000000000002</v>
      </c>
      <c r="I313" s="6" t="s">
        <v>183</v>
      </c>
      <c r="J313" s="7">
        <v>2.5299999999999998</v>
      </c>
      <c r="K313" s="6"/>
      <c r="L313" s="6"/>
      <c r="M313" s="6"/>
      <c r="N313" s="6"/>
    </row>
    <row r="314" spans="1:14" x14ac:dyDescent="0.25">
      <c r="A314" s="6" t="s">
        <v>672</v>
      </c>
      <c r="B314" s="6" t="str">
        <f t="shared" si="4"/>
        <v>TA1410</v>
      </c>
      <c r="C314" s="6" t="s">
        <v>673</v>
      </c>
      <c r="D314" s="6" t="s">
        <v>12</v>
      </c>
      <c r="E314" s="6" t="s">
        <v>13</v>
      </c>
      <c r="F314" s="6" t="s">
        <v>13</v>
      </c>
      <c r="G314" s="6" t="s">
        <v>31</v>
      </c>
      <c r="H314" s="7">
        <v>16.89</v>
      </c>
      <c r="I314" s="6" t="s">
        <v>32</v>
      </c>
      <c r="J314" s="7">
        <v>13.81</v>
      </c>
      <c r="K314" s="6" t="s">
        <v>33</v>
      </c>
      <c r="L314" s="7">
        <v>37.69</v>
      </c>
      <c r="M314" s="6" t="s">
        <v>34</v>
      </c>
      <c r="N314" s="7">
        <v>1.67</v>
      </c>
    </row>
    <row r="315" spans="1:14" x14ac:dyDescent="0.25">
      <c r="A315" s="6" t="s">
        <v>674</v>
      </c>
      <c r="B315" s="6" t="str">
        <f t="shared" si="4"/>
        <v>TA1470</v>
      </c>
      <c r="C315" s="6" t="s">
        <v>675</v>
      </c>
      <c r="D315" s="6" t="s">
        <v>12</v>
      </c>
      <c r="E315" s="6" t="s">
        <v>13</v>
      </c>
      <c r="F315" s="6" t="s">
        <v>13</v>
      </c>
      <c r="G315" s="6" t="s">
        <v>88</v>
      </c>
      <c r="H315" s="7">
        <v>237.7</v>
      </c>
      <c r="I315" s="6"/>
      <c r="J315" s="6"/>
      <c r="K315" s="6"/>
      <c r="L315" s="6"/>
      <c r="M315" s="6" t="s">
        <v>97</v>
      </c>
      <c r="N315" s="7">
        <v>8.6999999999999993</v>
      </c>
    </row>
    <row r="316" spans="1:14" x14ac:dyDescent="0.25">
      <c r="A316" s="6" t="s">
        <v>676</v>
      </c>
      <c r="B316" s="6" t="str">
        <f t="shared" si="4"/>
        <v>TA1520</v>
      </c>
      <c r="C316" s="6" t="s">
        <v>677</v>
      </c>
      <c r="D316" s="6" t="s">
        <v>12</v>
      </c>
      <c r="E316" s="6" t="s">
        <v>13</v>
      </c>
      <c r="F316" s="6" t="s">
        <v>13</v>
      </c>
      <c r="G316" s="6" t="s">
        <v>43</v>
      </c>
      <c r="H316" s="7">
        <v>39.07</v>
      </c>
      <c r="I316" s="6" t="s">
        <v>44</v>
      </c>
      <c r="J316" s="7">
        <v>5.8239999999999998</v>
      </c>
      <c r="K316" s="6"/>
      <c r="L316" s="6"/>
      <c r="M316" s="6"/>
      <c r="N316" s="6"/>
    </row>
    <row r="317" spans="1:14" x14ac:dyDescent="0.25">
      <c r="A317" s="6" t="s">
        <v>678</v>
      </c>
      <c r="B317" s="6" t="str">
        <f t="shared" si="4"/>
        <v>TA1630</v>
      </c>
      <c r="C317" s="6" t="s">
        <v>679</v>
      </c>
      <c r="D317" s="6" t="s">
        <v>12</v>
      </c>
      <c r="E317" s="6" t="s">
        <v>13</v>
      </c>
      <c r="F317" s="6" t="s">
        <v>13</v>
      </c>
      <c r="G317" s="6" t="s">
        <v>31</v>
      </c>
      <c r="H317" s="7">
        <v>11.69</v>
      </c>
      <c r="I317" s="6" t="s">
        <v>32</v>
      </c>
      <c r="J317" s="7">
        <v>9.56</v>
      </c>
      <c r="K317" s="6" t="s">
        <v>33</v>
      </c>
      <c r="L317" s="7">
        <v>26.08</v>
      </c>
      <c r="M317" s="6" t="s">
        <v>34</v>
      </c>
      <c r="N317" s="7">
        <v>1.1599999999999999</v>
      </c>
    </row>
    <row r="318" spans="1:14" x14ac:dyDescent="0.25">
      <c r="A318" s="6" t="s">
        <v>680</v>
      </c>
      <c r="B318" s="6" t="str">
        <f t="shared" si="4"/>
        <v>NA1430</v>
      </c>
      <c r="C318" s="6" t="s">
        <v>681</v>
      </c>
      <c r="D318" s="6" t="s">
        <v>12</v>
      </c>
      <c r="E318" s="6" t="s">
        <v>13</v>
      </c>
      <c r="F318" s="6" t="s">
        <v>13</v>
      </c>
      <c r="G318" s="6" t="s">
        <v>96</v>
      </c>
      <c r="H318" s="7">
        <v>215</v>
      </c>
      <c r="I318" s="6"/>
      <c r="J318" s="6"/>
      <c r="K318" s="6"/>
      <c r="L318" s="6"/>
      <c r="M318" s="6" t="s">
        <v>97</v>
      </c>
      <c r="N318" s="7">
        <v>9.4</v>
      </c>
    </row>
    <row r="319" spans="1:14" x14ac:dyDescent="0.25">
      <c r="A319" s="6" t="s">
        <v>682</v>
      </c>
      <c r="B319" s="6" t="str">
        <f t="shared" si="4"/>
        <v>NA1480</v>
      </c>
      <c r="C319" s="6" t="s">
        <v>683</v>
      </c>
      <c r="D319" s="6" t="s">
        <v>12</v>
      </c>
      <c r="E319" s="6" t="s">
        <v>13</v>
      </c>
      <c r="F319" s="6" t="s">
        <v>13</v>
      </c>
      <c r="G319" s="6" t="s">
        <v>96</v>
      </c>
      <c r="H319" s="7">
        <v>204</v>
      </c>
      <c r="I319" s="6"/>
      <c r="J319" s="6"/>
      <c r="K319" s="6"/>
      <c r="L319" s="6"/>
      <c r="M319" s="6" t="s">
        <v>97</v>
      </c>
      <c r="N319" s="7">
        <v>6.0270000000000001</v>
      </c>
    </row>
    <row r="320" spans="1:14" x14ac:dyDescent="0.25">
      <c r="A320" s="6" t="s">
        <v>684</v>
      </c>
      <c r="B320" s="6" t="str">
        <f t="shared" si="4"/>
        <v>NA1610</v>
      </c>
      <c r="C320" s="6" t="s">
        <v>685</v>
      </c>
      <c r="D320" s="6" t="s">
        <v>12</v>
      </c>
      <c r="E320" s="6" t="s">
        <v>13</v>
      </c>
      <c r="F320" s="6" t="s">
        <v>13</v>
      </c>
      <c r="G320" s="6" t="s">
        <v>476</v>
      </c>
      <c r="H320" s="7">
        <v>189.75</v>
      </c>
      <c r="I320" s="6"/>
      <c r="J320" s="6"/>
      <c r="K320" s="6"/>
      <c r="L320" s="6"/>
      <c r="M320" s="6"/>
      <c r="N320" s="6"/>
    </row>
    <row r="321" spans="1:14" x14ac:dyDescent="0.25">
      <c r="A321" s="6" t="s">
        <v>686</v>
      </c>
      <c r="B321" s="6" t="str">
        <f t="shared" si="4"/>
        <v>NA1420</v>
      </c>
      <c r="C321" s="6" t="s">
        <v>687</v>
      </c>
      <c r="D321" s="6" t="s">
        <v>12</v>
      </c>
      <c r="E321" s="6" t="s">
        <v>13</v>
      </c>
      <c r="F321" s="6" t="s">
        <v>13</v>
      </c>
      <c r="G321" s="6" t="s">
        <v>96</v>
      </c>
      <c r="H321" s="7">
        <v>260</v>
      </c>
      <c r="I321" s="6"/>
      <c r="J321" s="6"/>
      <c r="K321" s="6"/>
      <c r="L321" s="6"/>
      <c r="M321" s="6" t="s">
        <v>97</v>
      </c>
      <c r="N321" s="7">
        <v>9.2430000000000003</v>
      </c>
    </row>
    <row r="322" spans="1:14" x14ac:dyDescent="0.25">
      <c r="A322" s="6" t="s">
        <v>688</v>
      </c>
      <c r="B322" s="6" t="str">
        <f t="shared" ref="B322:B385" si="5">MID(A322,8,6)</f>
        <v>NA1470</v>
      </c>
      <c r="C322" s="6" t="s">
        <v>689</v>
      </c>
      <c r="D322" s="6" t="s">
        <v>12</v>
      </c>
      <c r="E322" s="6" t="s">
        <v>13</v>
      </c>
      <c r="F322" s="6" t="s">
        <v>13</v>
      </c>
      <c r="G322" s="6" t="s">
        <v>96</v>
      </c>
      <c r="H322" s="7">
        <v>56.03</v>
      </c>
      <c r="I322" s="6"/>
      <c r="J322" s="6"/>
      <c r="K322" s="6"/>
      <c r="L322" s="6"/>
      <c r="M322" s="6" t="s">
        <v>89</v>
      </c>
      <c r="N322" s="7">
        <v>1.97</v>
      </c>
    </row>
    <row r="323" spans="1:14" x14ac:dyDescent="0.25">
      <c r="A323" s="6" t="s">
        <v>690</v>
      </c>
      <c r="B323" s="6" t="str">
        <f t="shared" si="5"/>
        <v>NA1600</v>
      </c>
      <c r="C323" s="6" t="s">
        <v>691</v>
      </c>
      <c r="D323" s="6" t="s">
        <v>12</v>
      </c>
      <c r="E323" s="6" t="s">
        <v>13</v>
      </c>
      <c r="F323" s="6" t="s">
        <v>13</v>
      </c>
      <c r="G323" s="6" t="s">
        <v>85</v>
      </c>
      <c r="H323" s="7">
        <v>79.61</v>
      </c>
      <c r="I323" s="6" t="s">
        <v>44</v>
      </c>
      <c r="J323" s="7">
        <v>17.289000000000001</v>
      </c>
      <c r="K323" s="6"/>
      <c r="L323" s="6"/>
      <c r="M323" s="6"/>
      <c r="N323" s="6"/>
    </row>
    <row r="324" spans="1:14" x14ac:dyDescent="0.25">
      <c r="A324" s="6" t="s">
        <v>692</v>
      </c>
      <c r="B324" s="6" t="str">
        <f t="shared" si="5"/>
        <v>TA1680</v>
      </c>
      <c r="C324" s="6" t="s">
        <v>693</v>
      </c>
      <c r="D324" s="6" t="s">
        <v>12</v>
      </c>
      <c r="E324" s="6" t="s">
        <v>13</v>
      </c>
      <c r="F324" s="6" t="s">
        <v>13</v>
      </c>
      <c r="G324" s="6" t="s">
        <v>88</v>
      </c>
      <c r="H324" s="7">
        <v>25.06</v>
      </c>
      <c r="I324" s="6"/>
      <c r="J324" s="6"/>
      <c r="K324" s="6"/>
      <c r="L324" s="6"/>
      <c r="M324" s="6" t="s">
        <v>344</v>
      </c>
      <c r="N324" s="7">
        <v>0.57999999999999996</v>
      </c>
    </row>
    <row r="325" spans="1:14" x14ac:dyDescent="0.25">
      <c r="A325" s="6" t="s">
        <v>694</v>
      </c>
      <c r="B325" s="6" t="str">
        <f t="shared" si="5"/>
        <v>TA1480</v>
      </c>
      <c r="C325" s="6" t="s">
        <v>695</v>
      </c>
      <c r="D325" s="6" t="s">
        <v>12</v>
      </c>
      <c r="E325" s="6" t="s">
        <v>13</v>
      </c>
      <c r="F325" s="6" t="s">
        <v>13</v>
      </c>
      <c r="G325" s="6" t="s">
        <v>31</v>
      </c>
      <c r="H325" s="7">
        <v>19.79</v>
      </c>
      <c r="I325" s="6" t="s">
        <v>32</v>
      </c>
      <c r="J325" s="7">
        <v>17.02</v>
      </c>
      <c r="K325" s="6" t="s">
        <v>33</v>
      </c>
      <c r="L325" s="7">
        <v>44.04</v>
      </c>
      <c r="M325" s="6" t="s">
        <v>34</v>
      </c>
      <c r="N325" s="7">
        <v>2.13</v>
      </c>
    </row>
    <row r="326" spans="1:14" x14ac:dyDescent="0.25">
      <c r="A326" s="6" t="s">
        <v>696</v>
      </c>
      <c r="B326" s="6" t="str">
        <f t="shared" si="5"/>
        <v>TA1400</v>
      </c>
      <c r="C326" s="6" t="s">
        <v>697</v>
      </c>
      <c r="D326" s="6" t="s">
        <v>12</v>
      </c>
      <c r="E326" s="6" t="s">
        <v>13</v>
      </c>
      <c r="F326" s="6" t="s">
        <v>13</v>
      </c>
      <c r="G326" s="6" t="s">
        <v>43</v>
      </c>
      <c r="H326" s="7">
        <v>45.88</v>
      </c>
      <c r="I326" s="6" t="s">
        <v>44</v>
      </c>
      <c r="J326" s="7">
        <v>12.12</v>
      </c>
      <c r="K326" s="6"/>
      <c r="L326" s="6"/>
      <c r="M326" s="6"/>
      <c r="N326" s="6"/>
    </row>
    <row r="327" spans="1:14" x14ac:dyDescent="0.25">
      <c r="A327" s="6" t="s">
        <v>698</v>
      </c>
      <c r="B327" s="6" t="str">
        <f t="shared" si="5"/>
        <v>TA1120</v>
      </c>
      <c r="C327" s="6" t="s">
        <v>699</v>
      </c>
      <c r="D327" s="6" t="s">
        <v>12</v>
      </c>
      <c r="E327" s="6" t="s">
        <v>13</v>
      </c>
      <c r="F327" s="6" t="s">
        <v>13</v>
      </c>
      <c r="G327" s="6" t="s">
        <v>219</v>
      </c>
      <c r="H327" s="7">
        <v>39.6</v>
      </c>
      <c r="I327" s="6" t="s">
        <v>44</v>
      </c>
      <c r="J327" s="7">
        <v>27.4</v>
      </c>
      <c r="K327" s="6"/>
      <c r="L327" s="6"/>
      <c r="M327" s="6"/>
      <c r="N327" s="6"/>
    </row>
    <row r="328" spans="1:14" x14ac:dyDescent="0.25">
      <c r="A328" s="6" t="s">
        <v>700</v>
      </c>
      <c r="B328" s="6" t="str">
        <f t="shared" si="5"/>
        <v>TA1640</v>
      </c>
      <c r="C328" s="6" t="s">
        <v>701</v>
      </c>
      <c r="D328" s="6" t="s">
        <v>12</v>
      </c>
      <c r="E328" s="6" t="s">
        <v>13</v>
      </c>
      <c r="F328" s="6" t="s">
        <v>13</v>
      </c>
      <c r="G328" s="6" t="s">
        <v>31</v>
      </c>
      <c r="H328" s="7">
        <v>26.63</v>
      </c>
      <c r="I328" s="6" t="s">
        <v>32</v>
      </c>
      <c r="J328" s="7">
        <v>21.77</v>
      </c>
      <c r="K328" s="6" t="s">
        <v>33</v>
      </c>
      <c r="L328" s="7">
        <v>59.4</v>
      </c>
      <c r="M328" s="6" t="s">
        <v>34</v>
      </c>
      <c r="N328" s="7">
        <v>2.64</v>
      </c>
    </row>
    <row r="329" spans="1:14" x14ac:dyDescent="0.25">
      <c r="A329" s="6" t="s">
        <v>702</v>
      </c>
      <c r="B329" s="6" t="str">
        <f t="shared" si="5"/>
        <v>NA1440</v>
      </c>
      <c r="C329" s="6" t="s">
        <v>703</v>
      </c>
      <c r="D329" s="6" t="s">
        <v>12</v>
      </c>
      <c r="E329" s="6" t="s">
        <v>13</v>
      </c>
      <c r="F329" s="6" t="s">
        <v>13</v>
      </c>
      <c r="G329" s="6" t="s">
        <v>96</v>
      </c>
      <c r="H329" s="7">
        <v>221</v>
      </c>
      <c r="I329" s="6"/>
      <c r="J329" s="6"/>
      <c r="K329" s="6"/>
      <c r="L329" s="6"/>
      <c r="M329" s="6" t="s">
        <v>97</v>
      </c>
      <c r="N329" s="7">
        <v>9</v>
      </c>
    </row>
    <row r="330" spans="1:14" x14ac:dyDescent="0.25">
      <c r="A330" s="6" t="s">
        <v>704</v>
      </c>
      <c r="B330" s="6" t="str">
        <f t="shared" si="5"/>
        <v>NA1450</v>
      </c>
      <c r="C330" s="6" t="s">
        <v>705</v>
      </c>
      <c r="D330" s="6" t="s">
        <v>12</v>
      </c>
      <c r="E330" s="6" t="s">
        <v>13</v>
      </c>
      <c r="F330" s="6" t="s">
        <v>13</v>
      </c>
      <c r="G330" s="6" t="s">
        <v>96</v>
      </c>
      <c r="H330" s="7">
        <v>296.2</v>
      </c>
      <c r="I330" s="6"/>
      <c r="J330" s="6"/>
      <c r="K330" s="6"/>
      <c r="L330" s="6"/>
      <c r="M330" s="6" t="s">
        <v>97</v>
      </c>
      <c r="N330" s="7">
        <v>12.3</v>
      </c>
    </row>
    <row r="331" spans="1:14" x14ac:dyDescent="0.25">
      <c r="A331" s="6" t="s">
        <v>706</v>
      </c>
      <c r="B331" s="6" t="str">
        <f t="shared" si="5"/>
        <v>NA1410</v>
      </c>
      <c r="C331" s="6" t="s">
        <v>707</v>
      </c>
      <c r="D331" s="6" t="s">
        <v>12</v>
      </c>
      <c r="E331" s="6" t="s">
        <v>13</v>
      </c>
      <c r="F331" s="6" t="s">
        <v>13</v>
      </c>
      <c r="G331" s="6" t="s">
        <v>85</v>
      </c>
      <c r="H331" s="7">
        <v>85.61</v>
      </c>
      <c r="I331" s="6" t="s">
        <v>44</v>
      </c>
      <c r="J331" s="7">
        <v>18.59</v>
      </c>
      <c r="K331" s="6"/>
      <c r="L331" s="6"/>
      <c r="M331" s="6"/>
      <c r="N331" s="6"/>
    </row>
    <row r="332" spans="1:14" x14ac:dyDescent="0.25">
      <c r="A332" s="6" t="s">
        <v>708</v>
      </c>
      <c r="B332" s="6" t="str">
        <f t="shared" si="5"/>
        <v>NA1560</v>
      </c>
      <c r="C332" s="6" t="s">
        <v>709</v>
      </c>
      <c r="D332" s="6" t="s">
        <v>12</v>
      </c>
      <c r="E332" s="6" t="s">
        <v>13</v>
      </c>
      <c r="F332" s="6" t="s">
        <v>13</v>
      </c>
      <c r="G332" s="6" t="s">
        <v>183</v>
      </c>
      <c r="H332" s="7">
        <v>5.88</v>
      </c>
      <c r="I332" s="6" t="s">
        <v>200</v>
      </c>
      <c r="J332" s="7">
        <v>41.07</v>
      </c>
      <c r="K332" s="6"/>
      <c r="L332" s="6"/>
      <c r="M332" s="6"/>
      <c r="N332" s="6"/>
    </row>
    <row r="333" spans="1:14" x14ac:dyDescent="0.25">
      <c r="A333" s="6" t="s">
        <v>710</v>
      </c>
      <c r="B333" s="6" t="str">
        <f t="shared" si="5"/>
        <v>NA1570</v>
      </c>
      <c r="C333" s="6" t="s">
        <v>711</v>
      </c>
      <c r="D333" s="6" t="s">
        <v>12</v>
      </c>
      <c r="E333" s="6" t="s">
        <v>13</v>
      </c>
      <c r="F333" s="6" t="s">
        <v>13</v>
      </c>
      <c r="G333" s="6" t="s">
        <v>85</v>
      </c>
      <c r="H333" s="7">
        <v>102.07</v>
      </c>
      <c r="I333" s="6" t="s">
        <v>44</v>
      </c>
      <c r="J333" s="7">
        <v>19.61</v>
      </c>
      <c r="K333" s="6"/>
      <c r="L333" s="6"/>
      <c r="M333" s="6"/>
      <c r="N333" s="6"/>
    </row>
    <row r="334" spans="1:14" x14ac:dyDescent="0.25">
      <c r="A334" s="6" t="s">
        <v>712</v>
      </c>
      <c r="B334" s="6" t="str">
        <f t="shared" si="5"/>
        <v>TA1330</v>
      </c>
      <c r="C334" s="6" t="s">
        <v>713</v>
      </c>
      <c r="D334" s="6" t="s">
        <v>12</v>
      </c>
      <c r="E334" s="6" t="s">
        <v>13</v>
      </c>
      <c r="F334" s="6" t="s">
        <v>13</v>
      </c>
      <c r="G334" s="6" t="s">
        <v>88</v>
      </c>
      <c r="H334" s="7">
        <v>34.42</v>
      </c>
      <c r="I334" s="6"/>
      <c r="J334" s="6"/>
      <c r="K334" s="6"/>
      <c r="L334" s="6"/>
      <c r="M334" s="6" t="s">
        <v>344</v>
      </c>
      <c r="N334" s="7">
        <v>0.06</v>
      </c>
    </row>
    <row r="335" spans="1:14" x14ac:dyDescent="0.25">
      <c r="A335" s="6" t="s">
        <v>714</v>
      </c>
      <c r="B335" s="6" t="str">
        <f t="shared" si="5"/>
        <v>TA1350</v>
      </c>
      <c r="C335" s="6" t="s">
        <v>715</v>
      </c>
      <c r="D335" s="6" t="s">
        <v>12</v>
      </c>
      <c r="E335" s="6" t="s">
        <v>13</v>
      </c>
      <c r="F335" s="6" t="s">
        <v>13</v>
      </c>
      <c r="G335" s="6" t="s">
        <v>88</v>
      </c>
      <c r="H335" s="7">
        <v>437.8</v>
      </c>
      <c r="I335" s="6"/>
      <c r="J335" s="6"/>
      <c r="K335" s="6"/>
      <c r="L335" s="6"/>
      <c r="M335" s="6" t="s">
        <v>97</v>
      </c>
      <c r="N335" s="7">
        <v>16.75</v>
      </c>
    </row>
    <row r="336" spans="1:14" x14ac:dyDescent="0.25">
      <c r="A336" s="6" t="s">
        <v>716</v>
      </c>
      <c r="B336" s="6" t="str">
        <f t="shared" si="5"/>
        <v>TA1210</v>
      </c>
      <c r="C336" s="6" t="s">
        <v>717</v>
      </c>
      <c r="D336" s="6" t="s">
        <v>12</v>
      </c>
      <c r="E336" s="6" t="s">
        <v>13</v>
      </c>
      <c r="F336" s="6" t="s">
        <v>13</v>
      </c>
      <c r="G336" s="6" t="s">
        <v>31</v>
      </c>
      <c r="H336" s="7">
        <v>16.18</v>
      </c>
      <c r="I336" s="6" t="s">
        <v>32</v>
      </c>
      <c r="J336" s="7">
        <v>13.92</v>
      </c>
      <c r="K336" s="6" t="s">
        <v>33</v>
      </c>
      <c r="L336" s="7">
        <v>36.01</v>
      </c>
      <c r="M336" s="6" t="s">
        <v>34</v>
      </c>
      <c r="N336" s="7">
        <v>1.74</v>
      </c>
    </row>
    <row r="337" spans="1:14" x14ac:dyDescent="0.25">
      <c r="A337" s="6" t="s">
        <v>718</v>
      </c>
      <c r="B337" s="6" t="str">
        <f t="shared" si="5"/>
        <v>TA1220</v>
      </c>
      <c r="C337" s="6" t="s">
        <v>719</v>
      </c>
      <c r="D337" s="6" t="s">
        <v>12</v>
      </c>
      <c r="E337" s="6" t="s">
        <v>13</v>
      </c>
      <c r="F337" s="6" t="s">
        <v>13</v>
      </c>
      <c r="G337" s="6" t="s">
        <v>85</v>
      </c>
      <c r="H337" s="7">
        <v>74.849999999999994</v>
      </c>
      <c r="I337" s="6" t="s">
        <v>44</v>
      </c>
      <c r="J337" s="7">
        <v>23.6</v>
      </c>
      <c r="K337" s="6"/>
      <c r="L337" s="6"/>
      <c r="M337" s="6"/>
      <c r="N337" s="6"/>
    </row>
    <row r="338" spans="1:14" x14ac:dyDescent="0.25">
      <c r="A338" s="6" t="s">
        <v>720</v>
      </c>
      <c r="B338" s="6" t="str">
        <f t="shared" si="5"/>
        <v>TA1090</v>
      </c>
      <c r="C338" s="6" t="s">
        <v>721</v>
      </c>
      <c r="D338" s="6" t="s">
        <v>12</v>
      </c>
      <c r="E338" s="6" t="s">
        <v>13</v>
      </c>
      <c r="F338" s="6" t="s">
        <v>13</v>
      </c>
      <c r="G338" s="6" t="s">
        <v>25</v>
      </c>
      <c r="H338" s="7">
        <v>21.98</v>
      </c>
      <c r="I338" s="6" t="s">
        <v>26</v>
      </c>
      <c r="J338" s="7">
        <v>22.57</v>
      </c>
      <c r="K338" s="6" t="s">
        <v>27</v>
      </c>
      <c r="L338" s="7">
        <v>35.909999999999997</v>
      </c>
      <c r="M338" s="6" t="s">
        <v>28</v>
      </c>
      <c r="N338" s="7">
        <v>3.78</v>
      </c>
    </row>
    <row r="339" spans="1:14" x14ac:dyDescent="0.25">
      <c r="A339" s="6" t="s">
        <v>722</v>
      </c>
      <c r="B339" s="6" t="str">
        <f t="shared" si="5"/>
        <v>TA1080</v>
      </c>
      <c r="C339" s="6" t="s">
        <v>723</v>
      </c>
      <c r="D339" s="6" t="s">
        <v>12</v>
      </c>
      <c r="E339" s="6" t="s">
        <v>13</v>
      </c>
      <c r="F339" s="6" t="s">
        <v>13</v>
      </c>
      <c r="G339" s="6" t="s">
        <v>219</v>
      </c>
      <c r="H339" s="7">
        <v>47</v>
      </c>
      <c r="I339" s="6" t="s">
        <v>44</v>
      </c>
      <c r="J339" s="7">
        <v>31</v>
      </c>
      <c r="K339" s="6"/>
      <c r="L339" s="6"/>
      <c r="M339" s="6"/>
      <c r="N339" s="6"/>
    </row>
    <row r="340" spans="1:14" x14ac:dyDescent="0.25">
      <c r="A340" s="6" t="s">
        <v>724</v>
      </c>
      <c r="B340" s="6" t="str">
        <f t="shared" si="5"/>
        <v>TA0813</v>
      </c>
      <c r="C340" s="6" t="s">
        <v>725</v>
      </c>
      <c r="D340" s="6" t="s">
        <v>12</v>
      </c>
      <c r="E340" s="6" t="s">
        <v>13</v>
      </c>
      <c r="F340" s="6" t="s">
        <v>13</v>
      </c>
      <c r="G340" s="6" t="s">
        <v>31</v>
      </c>
      <c r="H340" s="7">
        <v>23.65</v>
      </c>
      <c r="I340" s="6" t="s">
        <v>32</v>
      </c>
      <c r="J340" s="7">
        <v>20.34</v>
      </c>
      <c r="K340" s="6" t="s">
        <v>33</v>
      </c>
      <c r="L340" s="7">
        <v>52.63</v>
      </c>
      <c r="M340" s="6" t="s">
        <v>34</v>
      </c>
      <c r="N340" s="7">
        <v>2.5499999999999998</v>
      </c>
    </row>
    <row r="341" spans="1:14" x14ac:dyDescent="0.25">
      <c r="A341" s="6" t="s">
        <v>726</v>
      </c>
      <c r="B341" s="6" t="str">
        <f t="shared" si="5"/>
        <v>TA0802</v>
      </c>
      <c r="C341" s="6" t="s">
        <v>727</v>
      </c>
      <c r="D341" s="6" t="s">
        <v>12</v>
      </c>
      <c r="E341" s="6" t="s">
        <v>13</v>
      </c>
      <c r="F341" s="6" t="s">
        <v>13</v>
      </c>
      <c r="G341" s="6" t="s">
        <v>31</v>
      </c>
      <c r="H341" s="7">
        <v>6.85</v>
      </c>
      <c r="I341" s="6" t="s">
        <v>32</v>
      </c>
      <c r="J341" s="7">
        <v>5.6</v>
      </c>
      <c r="K341" s="6" t="s">
        <v>33</v>
      </c>
      <c r="L341" s="7">
        <v>15.28</v>
      </c>
      <c r="M341" s="6" t="s">
        <v>34</v>
      </c>
      <c r="N341" s="7">
        <v>0.68</v>
      </c>
    </row>
    <row r="342" spans="1:14" x14ac:dyDescent="0.25">
      <c r="A342" s="6" t="s">
        <v>728</v>
      </c>
      <c r="B342" s="6" t="str">
        <f t="shared" si="5"/>
        <v>TA1250</v>
      </c>
      <c r="C342" s="6" t="s">
        <v>729</v>
      </c>
      <c r="D342" s="6" t="s">
        <v>12</v>
      </c>
      <c r="E342" s="6" t="s">
        <v>13</v>
      </c>
      <c r="F342" s="6" t="s">
        <v>13</v>
      </c>
      <c r="G342" s="6" t="s">
        <v>31</v>
      </c>
      <c r="H342" s="7">
        <v>8.81</v>
      </c>
      <c r="I342" s="6" t="s">
        <v>32</v>
      </c>
      <c r="J342" s="7">
        <v>7.2</v>
      </c>
      <c r="K342" s="6" t="s">
        <v>33</v>
      </c>
      <c r="L342" s="7">
        <v>19.649999999999999</v>
      </c>
      <c r="M342" s="6" t="s">
        <v>34</v>
      </c>
      <c r="N342" s="7">
        <v>0.87</v>
      </c>
    </row>
    <row r="343" spans="1:14" x14ac:dyDescent="0.25">
      <c r="A343" s="6" t="s">
        <v>730</v>
      </c>
      <c r="B343" s="6" t="str">
        <f t="shared" si="5"/>
        <v>TA1150</v>
      </c>
      <c r="C343" s="6" t="s">
        <v>731</v>
      </c>
      <c r="D343" s="6" t="s">
        <v>12</v>
      </c>
      <c r="E343" s="6" t="s">
        <v>13</v>
      </c>
      <c r="F343" s="6" t="s">
        <v>13</v>
      </c>
      <c r="G343" s="6" t="s">
        <v>31</v>
      </c>
      <c r="H343" s="7">
        <v>12.41</v>
      </c>
      <c r="I343" s="6" t="s">
        <v>32</v>
      </c>
      <c r="J343" s="7">
        <v>10.15</v>
      </c>
      <c r="K343" s="6" t="s">
        <v>33</v>
      </c>
      <c r="L343" s="7">
        <v>27.69</v>
      </c>
      <c r="M343" s="6" t="s">
        <v>34</v>
      </c>
      <c r="N343" s="7">
        <v>1.23</v>
      </c>
    </row>
    <row r="344" spans="1:14" x14ac:dyDescent="0.25">
      <c r="A344" s="6" t="s">
        <v>732</v>
      </c>
      <c r="B344" s="6" t="str">
        <f t="shared" si="5"/>
        <v>TA1130</v>
      </c>
      <c r="C344" s="6" t="s">
        <v>733</v>
      </c>
      <c r="D344" s="6" t="s">
        <v>12</v>
      </c>
      <c r="E344" s="6" t="s">
        <v>13</v>
      </c>
      <c r="F344" s="6" t="s">
        <v>13</v>
      </c>
      <c r="G344" s="6" t="s">
        <v>31</v>
      </c>
      <c r="H344" s="7">
        <v>32.5</v>
      </c>
      <c r="I344" s="6" t="s">
        <v>32</v>
      </c>
      <c r="J344" s="7">
        <v>26.57</v>
      </c>
      <c r="K344" s="6" t="s">
        <v>33</v>
      </c>
      <c r="L344" s="7">
        <v>72.5</v>
      </c>
      <c r="M344" s="6" t="s">
        <v>34</v>
      </c>
      <c r="N344" s="7">
        <v>3.22</v>
      </c>
    </row>
    <row r="345" spans="1:14" x14ac:dyDescent="0.25">
      <c r="A345" s="6" t="s">
        <v>734</v>
      </c>
      <c r="B345" s="6" t="str">
        <f t="shared" si="5"/>
        <v>TA1170</v>
      </c>
      <c r="C345" s="6" t="s">
        <v>735</v>
      </c>
      <c r="D345" s="6" t="s">
        <v>12</v>
      </c>
      <c r="E345" s="6" t="s">
        <v>13</v>
      </c>
      <c r="F345" s="6" t="s">
        <v>13</v>
      </c>
      <c r="G345" s="6" t="s">
        <v>31</v>
      </c>
      <c r="H345" s="7">
        <v>14.27</v>
      </c>
      <c r="I345" s="6" t="s">
        <v>32</v>
      </c>
      <c r="J345" s="7">
        <v>11.66</v>
      </c>
      <c r="K345" s="6" t="s">
        <v>33</v>
      </c>
      <c r="L345" s="7">
        <v>31.83</v>
      </c>
      <c r="M345" s="6" t="s">
        <v>34</v>
      </c>
      <c r="N345" s="7">
        <v>1.41</v>
      </c>
    </row>
    <row r="346" spans="1:14" x14ac:dyDescent="0.25">
      <c r="A346" s="6" t="s">
        <v>736</v>
      </c>
      <c r="B346" s="6" t="str">
        <f t="shared" si="5"/>
        <v>TA1660</v>
      </c>
      <c r="C346" s="6" t="s">
        <v>737</v>
      </c>
      <c r="D346" s="6" t="s">
        <v>12</v>
      </c>
      <c r="E346" s="6" t="s">
        <v>13</v>
      </c>
      <c r="F346" s="6" t="s">
        <v>13</v>
      </c>
      <c r="G346" s="6" t="s">
        <v>85</v>
      </c>
      <c r="H346" s="7">
        <v>93.26</v>
      </c>
      <c r="I346" s="8" t="s">
        <v>44</v>
      </c>
      <c r="J346" s="7">
        <v>20.25</v>
      </c>
      <c r="K346" s="6"/>
      <c r="L346" s="6"/>
      <c r="M346" s="6"/>
      <c r="N346" s="6"/>
    </row>
    <row r="347" spans="1:14" x14ac:dyDescent="0.25">
      <c r="A347" s="6" t="s">
        <v>738</v>
      </c>
      <c r="B347" s="6" t="str">
        <f t="shared" si="5"/>
        <v>TA1420</v>
      </c>
      <c r="C347" s="6" t="s">
        <v>739</v>
      </c>
      <c r="D347" s="6" t="s">
        <v>12</v>
      </c>
      <c r="E347" s="6" t="s">
        <v>13</v>
      </c>
      <c r="F347" s="6" t="s">
        <v>13</v>
      </c>
      <c r="G347" s="6" t="s">
        <v>88</v>
      </c>
      <c r="H347" s="7">
        <v>278.5</v>
      </c>
      <c r="I347" s="6"/>
      <c r="J347" s="6"/>
      <c r="K347" s="6"/>
      <c r="L347" s="6"/>
      <c r="M347" s="6" t="s">
        <v>97</v>
      </c>
      <c r="N347" s="7">
        <v>11.4</v>
      </c>
    </row>
    <row r="348" spans="1:14" x14ac:dyDescent="0.25">
      <c r="A348" s="6" t="s">
        <v>740</v>
      </c>
      <c r="B348" s="6" t="str">
        <f t="shared" si="5"/>
        <v>TA1450</v>
      </c>
      <c r="C348" s="6" t="s">
        <v>741</v>
      </c>
      <c r="D348" s="6" t="s">
        <v>12</v>
      </c>
      <c r="E348" s="6" t="s">
        <v>13</v>
      </c>
      <c r="F348" s="6" t="s">
        <v>13</v>
      </c>
      <c r="G348" s="6" t="s">
        <v>88</v>
      </c>
      <c r="H348" s="7">
        <v>409.6</v>
      </c>
      <c r="I348" s="6"/>
      <c r="J348" s="6"/>
      <c r="K348" s="6"/>
      <c r="L348" s="6"/>
      <c r="M348" s="6" t="s">
        <v>97</v>
      </c>
      <c r="N348" s="7">
        <v>15.9</v>
      </c>
    </row>
    <row r="349" spans="1:14" x14ac:dyDescent="0.25">
      <c r="A349" s="6" t="s">
        <v>742</v>
      </c>
      <c r="B349" s="6" t="str">
        <f t="shared" si="5"/>
        <v>TA1500</v>
      </c>
      <c r="C349" s="6" t="s">
        <v>743</v>
      </c>
      <c r="D349" s="6" t="s">
        <v>12</v>
      </c>
      <c r="E349" s="6" t="s">
        <v>13</v>
      </c>
      <c r="F349" s="6" t="s">
        <v>13</v>
      </c>
      <c r="G349" s="6" t="s">
        <v>51</v>
      </c>
      <c r="H349" s="7">
        <v>15.13</v>
      </c>
      <c r="I349" s="6" t="s">
        <v>52</v>
      </c>
      <c r="J349" s="7">
        <v>34.090000000000003</v>
      </c>
      <c r="K349" s="6" t="s">
        <v>53</v>
      </c>
      <c r="L349" s="7">
        <v>39.619999999999997</v>
      </c>
      <c r="M349" s="6" t="s">
        <v>28</v>
      </c>
      <c r="N349" s="7">
        <v>4.3499999999999996</v>
      </c>
    </row>
    <row r="350" spans="1:14" x14ac:dyDescent="0.25">
      <c r="A350" s="6" t="s">
        <v>744</v>
      </c>
      <c r="B350" s="6" t="str">
        <f t="shared" si="5"/>
        <v>TA1610</v>
      </c>
      <c r="C350" s="6" t="s">
        <v>745</v>
      </c>
      <c r="D350" s="6" t="s">
        <v>12</v>
      </c>
      <c r="E350" s="6" t="s">
        <v>13</v>
      </c>
      <c r="F350" s="6" t="s">
        <v>13</v>
      </c>
      <c r="G350" s="6" t="s">
        <v>31</v>
      </c>
      <c r="H350" s="7">
        <v>10.09</v>
      </c>
      <c r="I350" s="6" t="s">
        <v>32</v>
      </c>
      <c r="J350" s="7">
        <v>8.25</v>
      </c>
      <c r="K350" s="6" t="s">
        <v>33</v>
      </c>
      <c r="L350" s="7">
        <v>22.52</v>
      </c>
      <c r="M350" s="6" t="s">
        <v>34</v>
      </c>
      <c r="N350" s="7">
        <v>1</v>
      </c>
    </row>
    <row r="351" spans="1:14" x14ac:dyDescent="0.25">
      <c r="A351" s="6" t="s">
        <v>746</v>
      </c>
      <c r="B351" s="6" t="str">
        <f t="shared" si="5"/>
        <v>TA1230</v>
      </c>
      <c r="C351" s="6" t="s">
        <v>747</v>
      </c>
      <c r="D351" s="6" t="s">
        <v>12</v>
      </c>
      <c r="E351" s="6" t="s">
        <v>13</v>
      </c>
      <c r="F351" s="6" t="s">
        <v>13</v>
      </c>
      <c r="G351" s="6" t="s">
        <v>43</v>
      </c>
      <c r="H351" s="7">
        <v>31.76</v>
      </c>
      <c r="I351" s="6" t="s">
        <v>44</v>
      </c>
      <c r="J351" s="7">
        <v>3.12</v>
      </c>
      <c r="K351" s="6"/>
      <c r="L351" s="6"/>
      <c r="M351" s="6"/>
      <c r="N351" s="6"/>
    </row>
    <row r="352" spans="1:14" x14ac:dyDescent="0.25">
      <c r="A352" s="6" t="s">
        <v>748</v>
      </c>
      <c r="B352" s="6" t="str">
        <f t="shared" si="5"/>
        <v>TA1340</v>
      </c>
      <c r="C352" s="6" t="s">
        <v>749</v>
      </c>
      <c r="D352" s="6" t="s">
        <v>12</v>
      </c>
      <c r="E352" s="6" t="s">
        <v>13</v>
      </c>
      <c r="F352" s="6" t="s">
        <v>13</v>
      </c>
      <c r="G352" s="6" t="s">
        <v>88</v>
      </c>
      <c r="H352" s="7">
        <v>244</v>
      </c>
      <c r="I352" s="6" t="s">
        <v>88</v>
      </c>
      <c r="J352" s="7">
        <v>83</v>
      </c>
      <c r="K352" s="6"/>
      <c r="L352" s="6"/>
      <c r="M352" s="6" t="s">
        <v>97</v>
      </c>
      <c r="N352" s="7">
        <v>5.391</v>
      </c>
    </row>
    <row r="353" spans="1:14" x14ac:dyDescent="0.25">
      <c r="A353" s="6" t="s">
        <v>750</v>
      </c>
      <c r="B353" s="6" t="str">
        <f t="shared" si="5"/>
        <v>TA1360</v>
      </c>
      <c r="C353" s="6" t="s">
        <v>751</v>
      </c>
      <c r="D353" s="6" t="s">
        <v>12</v>
      </c>
      <c r="E353" s="6" t="s">
        <v>13</v>
      </c>
      <c r="F353" s="6" t="s">
        <v>13</v>
      </c>
      <c r="G353" s="6" t="s">
        <v>31</v>
      </c>
      <c r="H353" s="7">
        <v>24.76</v>
      </c>
      <c r="I353" s="6" t="s">
        <v>32</v>
      </c>
      <c r="J353" s="7">
        <v>21.3</v>
      </c>
      <c r="K353" s="6" t="s">
        <v>33</v>
      </c>
      <c r="L353" s="7">
        <v>55.11</v>
      </c>
      <c r="M353" s="6" t="s">
        <v>34</v>
      </c>
      <c r="N353" s="7">
        <v>2.82</v>
      </c>
    </row>
    <row r="354" spans="1:14" x14ac:dyDescent="0.25">
      <c r="A354" s="6" t="s">
        <v>752</v>
      </c>
      <c r="B354" s="6" t="str">
        <f t="shared" si="5"/>
        <v>TA1140</v>
      </c>
      <c r="C354" s="6" t="s">
        <v>753</v>
      </c>
      <c r="D354" s="6" t="s">
        <v>12</v>
      </c>
      <c r="E354" s="6" t="s">
        <v>13</v>
      </c>
      <c r="F354" s="6" t="s">
        <v>13</v>
      </c>
      <c r="G354" s="6" t="s">
        <v>85</v>
      </c>
      <c r="H354" s="7">
        <v>122.6</v>
      </c>
      <c r="I354" s="6" t="s">
        <v>44</v>
      </c>
      <c r="J354" s="7">
        <v>21.69</v>
      </c>
      <c r="K354" s="6"/>
      <c r="L354" s="6"/>
      <c r="M354" s="6"/>
      <c r="N354" s="6"/>
    </row>
    <row r="355" spans="1:14" x14ac:dyDescent="0.25">
      <c r="A355" s="6" t="s">
        <v>754</v>
      </c>
      <c r="B355" s="6" t="str">
        <f t="shared" si="5"/>
        <v>TA1380</v>
      </c>
      <c r="C355" s="6" t="s">
        <v>755</v>
      </c>
      <c r="D355" s="6" t="s">
        <v>12</v>
      </c>
      <c r="E355" s="6" t="s">
        <v>13</v>
      </c>
      <c r="F355" s="6" t="s">
        <v>13</v>
      </c>
      <c r="G355" s="6" t="s">
        <v>25</v>
      </c>
      <c r="H355" s="7">
        <v>32.700000000000003</v>
      </c>
      <c r="I355" s="6" t="s">
        <v>26</v>
      </c>
      <c r="J355" s="7">
        <v>8.1999999999999993</v>
      </c>
      <c r="K355" s="6" t="s">
        <v>27</v>
      </c>
      <c r="L355" s="7">
        <v>43.5</v>
      </c>
      <c r="M355" s="6" t="s">
        <v>28</v>
      </c>
      <c r="N355" s="7">
        <v>6.5</v>
      </c>
    </row>
    <row r="356" spans="1:14" x14ac:dyDescent="0.25">
      <c r="A356" s="6" t="s">
        <v>756</v>
      </c>
      <c r="B356" s="6" t="str">
        <f t="shared" si="5"/>
        <v>TA0811</v>
      </c>
      <c r="C356" s="6" t="s">
        <v>757</v>
      </c>
      <c r="D356" s="6" t="s">
        <v>12</v>
      </c>
      <c r="E356" s="6" t="s">
        <v>13</v>
      </c>
      <c r="F356" s="6" t="s">
        <v>13</v>
      </c>
      <c r="G356" s="6" t="s">
        <v>31</v>
      </c>
      <c r="H356" s="7">
        <v>7.42</v>
      </c>
      <c r="I356" s="6" t="s">
        <v>32</v>
      </c>
      <c r="J356" s="7">
        <v>6.06</v>
      </c>
      <c r="K356" s="6" t="s">
        <v>33</v>
      </c>
      <c r="L356" s="7">
        <v>16.55</v>
      </c>
      <c r="M356" s="6" t="s">
        <v>34</v>
      </c>
      <c r="N356" s="7">
        <v>0.73</v>
      </c>
    </row>
    <row r="357" spans="1:14" x14ac:dyDescent="0.25">
      <c r="A357" s="6" t="s">
        <v>758</v>
      </c>
      <c r="B357" s="6" t="str">
        <f t="shared" si="5"/>
        <v>TA0812</v>
      </c>
      <c r="C357" s="6" t="s">
        <v>759</v>
      </c>
      <c r="D357" s="6" t="s">
        <v>12</v>
      </c>
      <c r="E357" s="6" t="s">
        <v>13</v>
      </c>
      <c r="F357" s="6" t="s">
        <v>13</v>
      </c>
      <c r="G357" s="6" t="s">
        <v>31</v>
      </c>
      <c r="H357" s="7">
        <v>12.93</v>
      </c>
      <c r="I357" s="6" t="s">
        <v>32</v>
      </c>
      <c r="J357" s="7">
        <v>10.57</v>
      </c>
      <c r="K357" s="6" t="s">
        <v>33</v>
      </c>
      <c r="L357" s="7">
        <v>28.84</v>
      </c>
      <c r="M357" s="6" t="s">
        <v>34</v>
      </c>
      <c r="N357" s="7">
        <v>1.28</v>
      </c>
    </row>
    <row r="358" spans="1:14" x14ac:dyDescent="0.25">
      <c r="A358" s="6" t="s">
        <v>760</v>
      </c>
      <c r="B358" s="6" t="str">
        <f t="shared" si="5"/>
        <v>TA0801</v>
      </c>
      <c r="C358" s="6" t="s">
        <v>761</v>
      </c>
      <c r="D358" s="6" t="s">
        <v>12</v>
      </c>
      <c r="E358" s="6" t="s">
        <v>13</v>
      </c>
      <c r="F358" s="6" t="s">
        <v>13</v>
      </c>
      <c r="G358" s="6" t="s">
        <v>31</v>
      </c>
      <c r="H358" s="7">
        <v>7.62</v>
      </c>
      <c r="I358" s="6" t="s">
        <v>32</v>
      </c>
      <c r="J358" s="7">
        <v>6.23</v>
      </c>
      <c r="K358" s="6" t="s">
        <v>33</v>
      </c>
      <c r="L358" s="7">
        <v>17.010000000000002</v>
      </c>
      <c r="M358" s="6" t="s">
        <v>34</v>
      </c>
      <c r="N358" s="7">
        <v>0.75</v>
      </c>
    </row>
    <row r="359" spans="1:14" x14ac:dyDescent="0.25">
      <c r="A359" s="6" t="s">
        <v>762</v>
      </c>
      <c r="B359" s="6" t="str">
        <f t="shared" si="5"/>
        <v>TA0804</v>
      </c>
      <c r="C359" s="6" t="s">
        <v>763</v>
      </c>
      <c r="D359" s="6" t="s">
        <v>12</v>
      </c>
      <c r="E359" s="6" t="s">
        <v>13</v>
      </c>
      <c r="F359" s="6" t="s">
        <v>13</v>
      </c>
      <c r="G359" s="6" t="s">
        <v>31</v>
      </c>
      <c r="H359" s="7">
        <v>14.48</v>
      </c>
      <c r="I359" s="6" t="s">
        <v>32</v>
      </c>
      <c r="J359" s="7">
        <v>12.46</v>
      </c>
      <c r="K359" s="6" t="s">
        <v>33</v>
      </c>
      <c r="L359" s="7">
        <v>32.22</v>
      </c>
      <c r="M359" s="6" t="s">
        <v>34</v>
      </c>
      <c r="N359" s="7">
        <v>1.56</v>
      </c>
    </row>
    <row r="360" spans="1:14" x14ac:dyDescent="0.25">
      <c r="A360" s="6" t="s">
        <v>764</v>
      </c>
      <c r="B360" s="6" t="str">
        <f t="shared" si="5"/>
        <v>TA1240</v>
      </c>
      <c r="C360" s="6" t="s">
        <v>765</v>
      </c>
      <c r="D360" s="6" t="s">
        <v>12</v>
      </c>
      <c r="E360" s="6" t="s">
        <v>13</v>
      </c>
      <c r="F360" s="6" t="s">
        <v>13</v>
      </c>
      <c r="G360" s="6" t="s">
        <v>31</v>
      </c>
      <c r="H360" s="7">
        <v>8.5500000000000007</v>
      </c>
      <c r="I360" s="6" t="s">
        <v>32</v>
      </c>
      <c r="J360" s="7">
        <v>6.99</v>
      </c>
      <c r="K360" s="6" t="s">
        <v>33</v>
      </c>
      <c r="L360" s="7">
        <v>19.07</v>
      </c>
      <c r="M360" s="6" t="s">
        <v>34</v>
      </c>
      <c r="N360" s="7">
        <v>0.85</v>
      </c>
    </row>
    <row r="361" spans="1:14" x14ac:dyDescent="0.25">
      <c r="A361" s="6" t="s">
        <v>766</v>
      </c>
      <c r="B361" s="6" t="str">
        <f t="shared" si="5"/>
        <v>TA1190</v>
      </c>
      <c r="C361" s="6" t="s">
        <v>767</v>
      </c>
      <c r="D361" s="6" t="s">
        <v>12</v>
      </c>
      <c r="E361" s="6" t="s">
        <v>13</v>
      </c>
      <c r="F361" s="6" t="s">
        <v>13</v>
      </c>
      <c r="G361" s="6" t="s">
        <v>31</v>
      </c>
      <c r="H361" s="7">
        <v>7.88</v>
      </c>
      <c r="I361" s="6" t="s">
        <v>32</v>
      </c>
      <c r="J361" s="7">
        <v>6.44</v>
      </c>
      <c r="K361" s="6" t="s">
        <v>33</v>
      </c>
      <c r="L361" s="7">
        <v>17.579999999999998</v>
      </c>
      <c r="M361" s="6" t="s">
        <v>34</v>
      </c>
      <c r="N361" s="7">
        <v>0.78</v>
      </c>
    </row>
    <row r="362" spans="1:14" x14ac:dyDescent="0.25">
      <c r="A362" s="6" t="s">
        <v>768</v>
      </c>
      <c r="B362" s="6" t="str">
        <f t="shared" si="5"/>
        <v>TA1110</v>
      </c>
      <c r="C362" s="6" t="s">
        <v>57</v>
      </c>
      <c r="D362" s="6" t="s">
        <v>12</v>
      </c>
      <c r="E362" s="6" t="s">
        <v>13</v>
      </c>
      <c r="F362" s="6" t="s">
        <v>13</v>
      </c>
      <c r="G362" s="6" t="s">
        <v>31</v>
      </c>
      <c r="H362" s="7">
        <v>49</v>
      </c>
      <c r="I362" s="6" t="s">
        <v>32</v>
      </c>
      <c r="J362" s="7">
        <v>18</v>
      </c>
      <c r="K362" s="6" t="s">
        <v>33</v>
      </c>
      <c r="L362" s="7">
        <v>79</v>
      </c>
      <c r="M362" s="6" t="s">
        <v>34</v>
      </c>
      <c r="N362" s="7">
        <v>2.6</v>
      </c>
    </row>
    <row r="363" spans="1:14" x14ac:dyDescent="0.25">
      <c r="A363" s="6" t="s">
        <v>769</v>
      </c>
      <c r="B363" s="6" t="str">
        <f t="shared" si="5"/>
        <v>NA1460</v>
      </c>
      <c r="C363" s="6" t="s">
        <v>770</v>
      </c>
      <c r="D363" s="6" t="s">
        <v>12</v>
      </c>
      <c r="E363" s="6" t="s">
        <v>13</v>
      </c>
      <c r="F363" s="6" t="s">
        <v>13</v>
      </c>
      <c r="G363" s="6" t="s">
        <v>96</v>
      </c>
      <c r="H363" s="7">
        <v>59.89</v>
      </c>
      <c r="I363" s="6"/>
      <c r="J363" s="6"/>
      <c r="K363" s="6"/>
      <c r="L363" s="6"/>
      <c r="M363" s="6" t="s">
        <v>89</v>
      </c>
      <c r="N363" s="7">
        <v>2.11</v>
      </c>
    </row>
    <row r="364" spans="1:14" x14ac:dyDescent="0.25">
      <c r="A364" s="6" t="s">
        <v>771</v>
      </c>
      <c r="B364" s="6" t="str">
        <f t="shared" si="5"/>
        <v>NA1580</v>
      </c>
      <c r="C364" s="6" t="s">
        <v>772</v>
      </c>
      <c r="D364" s="6" t="s">
        <v>12</v>
      </c>
      <c r="E364" s="6" t="s">
        <v>13</v>
      </c>
      <c r="F364" s="6" t="s">
        <v>13</v>
      </c>
      <c r="G364" s="6" t="s">
        <v>476</v>
      </c>
      <c r="H364" s="7">
        <v>189.75</v>
      </c>
      <c r="I364" s="6"/>
      <c r="J364" s="6"/>
      <c r="K364" s="6"/>
      <c r="L364" s="6"/>
      <c r="M364" s="6"/>
      <c r="N364" s="6"/>
    </row>
    <row r="365" spans="1:14" x14ac:dyDescent="0.25">
      <c r="A365" s="6" t="s">
        <v>773</v>
      </c>
      <c r="B365" s="6" t="str">
        <f t="shared" si="5"/>
        <v>TA1060</v>
      </c>
      <c r="C365" s="6" t="s">
        <v>774</v>
      </c>
      <c r="D365" s="6" t="s">
        <v>12</v>
      </c>
      <c r="E365" s="6" t="s">
        <v>13</v>
      </c>
      <c r="F365" s="6" t="s">
        <v>13</v>
      </c>
      <c r="G365" s="6" t="s">
        <v>85</v>
      </c>
      <c r="H365" s="7">
        <v>124</v>
      </c>
      <c r="I365" s="6" t="s">
        <v>44</v>
      </c>
      <c r="J365" s="7">
        <v>37</v>
      </c>
      <c r="K365" s="6"/>
      <c r="L365" s="6"/>
      <c r="M365" s="6"/>
      <c r="N365" s="6"/>
    </row>
    <row r="366" spans="1:14" x14ac:dyDescent="0.25">
      <c r="A366" s="6" t="s">
        <v>775</v>
      </c>
      <c r="B366" s="6" t="str">
        <f t="shared" si="5"/>
        <v>TA1180</v>
      </c>
      <c r="C366" s="6" t="s">
        <v>776</v>
      </c>
      <c r="D366" s="6" t="s">
        <v>12</v>
      </c>
      <c r="E366" s="6" t="s">
        <v>13</v>
      </c>
      <c r="F366" s="6" t="s">
        <v>13</v>
      </c>
      <c r="G366" s="6" t="s">
        <v>85</v>
      </c>
      <c r="H366" s="7">
        <v>142.21</v>
      </c>
      <c r="I366" s="6" t="s">
        <v>44</v>
      </c>
      <c r="J366" s="7">
        <v>37.840000000000003</v>
      </c>
      <c r="K366" s="6"/>
      <c r="L366" s="6"/>
      <c r="M366" s="6"/>
      <c r="N366" s="6"/>
    </row>
    <row r="367" spans="1:14" x14ac:dyDescent="0.25">
      <c r="A367" s="6" t="s">
        <v>777</v>
      </c>
      <c r="B367" s="6" t="str">
        <f t="shared" si="5"/>
        <v>TA1200</v>
      </c>
      <c r="C367" s="6" t="s">
        <v>778</v>
      </c>
      <c r="D367" s="6" t="s">
        <v>12</v>
      </c>
      <c r="E367" s="6" t="s">
        <v>13</v>
      </c>
      <c r="F367" s="6" t="s">
        <v>13</v>
      </c>
      <c r="G367" s="6" t="s">
        <v>219</v>
      </c>
      <c r="H367" s="7">
        <v>40</v>
      </c>
      <c r="I367" s="6" t="s">
        <v>44</v>
      </c>
      <c r="J367" s="7">
        <v>27</v>
      </c>
      <c r="K367" s="6"/>
      <c r="L367" s="6"/>
      <c r="M367" s="6"/>
      <c r="N367" s="6"/>
    </row>
    <row r="368" spans="1:14" x14ac:dyDescent="0.25">
      <c r="A368" s="6" t="s">
        <v>779</v>
      </c>
      <c r="B368" s="6" t="str">
        <f t="shared" si="5"/>
        <v>TA0803</v>
      </c>
      <c r="C368" s="6" t="s">
        <v>780</v>
      </c>
      <c r="D368" s="6" t="s">
        <v>12</v>
      </c>
      <c r="E368" s="6" t="s">
        <v>13</v>
      </c>
      <c r="F368" s="6" t="s">
        <v>13</v>
      </c>
      <c r="G368" s="6" t="s">
        <v>31</v>
      </c>
      <c r="H368" s="7">
        <v>7.74</v>
      </c>
      <c r="I368" s="6" t="s">
        <v>32</v>
      </c>
      <c r="J368" s="7">
        <v>6.1</v>
      </c>
      <c r="K368" s="6" t="s">
        <v>33</v>
      </c>
      <c r="L368" s="7">
        <v>16.68</v>
      </c>
      <c r="M368" s="6" t="s">
        <v>34</v>
      </c>
      <c r="N368" s="7">
        <v>0.74</v>
      </c>
    </row>
    <row r="369" spans="1:14" x14ac:dyDescent="0.25">
      <c r="A369" s="6" t="s">
        <v>781</v>
      </c>
      <c r="B369" s="6" t="str">
        <f t="shared" si="5"/>
        <v>TA1070</v>
      </c>
      <c r="C369" s="6" t="s">
        <v>782</v>
      </c>
      <c r="D369" s="6" t="s">
        <v>12</v>
      </c>
      <c r="E369" s="6" t="s">
        <v>13</v>
      </c>
      <c r="F369" s="6" t="s">
        <v>13</v>
      </c>
      <c r="G369" s="6" t="s">
        <v>31</v>
      </c>
      <c r="H369" s="7">
        <v>12.41</v>
      </c>
      <c r="I369" s="6" t="s">
        <v>32</v>
      </c>
      <c r="J369" s="7">
        <v>10.15</v>
      </c>
      <c r="K369" s="6" t="s">
        <v>33</v>
      </c>
      <c r="L369" s="7">
        <v>27.69</v>
      </c>
      <c r="M369" s="6" t="s">
        <v>34</v>
      </c>
      <c r="N369" s="7">
        <v>1.23</v>
      </c>
    </row>
    <row r="370" spans="1:14" x14ac:dyDescent="0.25">
      <c r="A370" s="6" t="s">
        <v>783</v>
      </c>
      <c r="B370" s="6" t="str">
        <f t="shared" si="5"/>
        <v>TA1670</v>
      </c>
      <c r="C370" s="6" t="s">
        <v>784</v>
      </c>
      <c r="D370" s="6" t="s">
        <v>12</v>
      </c>
      <c r="E370" s="6" t="s">
        <v>13</v>
      </c>
      <c r="F370" s="6" t="s">
        <v>13</v>
      </c>
      <c r="G370" s="6" t="s">
        <v>88</v>
      </c>
      <c r="H370" s="7">
        <v>102.7</v>
      </c>
      <c r="I370" s="6"/>
      <c r="J370" s="6"/>
      <c r="K370" s="6"/>
      <c r="L370" s="6"/>
      <c r="M370" s="6" t="s">
        <v>89</v>
      </c>
      <c r="N370" s="7">
        <v>4.9000000000000004</v>
      </c>
    </row>
    <row r="371" spans="1:14" x14ac:dyDescent="0.25">
      <c r="A371" s="6" t="s">
        <v>785</v>
      </c>
      <c r="B371" s="6" t="str">
        <f t="shared" si="5"/>
        <v>TA1690</v>
      </c>
      <c r="C371" s="6" t="s">
        <v>786</v>
      </c>
      <c r="D371" s="6" t="s">
        <v>12</v>
      </c>
      <c r="E371" s="6" t="s">
        <v>13</v>
      </c>
      <c r="F371" s="6" t="s">
        <v>13</v>
      </c>
      <c r="G371" s="6" t="s">
        <v>88</v>
      </c>
      <c r="H371" s="7">
        <v>62.09</v>
      </c>
      <c r="I371" s="6"/>
      <c r="J371" s="6"/>
      <c r="K371" s="6"/>
      <c r="L371" s="6"/>
      <c r="M371" s="6" t="s">
        <v>344</v>
      </c>
      <c r="N371" s="7">
        <v>1.43</v>
      </c>
    </row>
    <row r="372" spans="1:14" x14ac:dyDescent="0.25">
      <c r="A372" s="6" t="s">
        <v>787</v>
      </c>
      <c r="B372" s="6" t="str">
        <f t="shared" si="5"/>
        <v>TA1430</v>
      </c>
      <c r="C372" s="6" t="s">
        <v>788</v>
      </c>
      <c r="D372" s="6" t="s">
        <v>12</v>
      </c>
      <c r="E372" s="6" t="s">
        <v>13</v>
      </c>
      <c r="F372" s="6" t="s">
        <v>13</v>
      </c>
      <c r="G372" s="6" t="s">
        <v>88</v>
      </c>
      <c r="H372" s="7">
        <v>205.3</v>
      </c>
      <c r="I372" s="6"/>
      <c r="J372" s="6"/>
      <c r="K372" s="6"/>
      <c r="L372" s="6"/>
      <c r="M372" s="6" t="s">
        <v>97</v>
      </c>
      <c r="N372" s="7">
        <v>7.85</v>
      </c>
    </row>
    <row r="373" spans="1:14" x14ac:dyDescent="0.25">
      <c r="A373" s="6" t="s">
        <v>789</v>
      </c>
      <c r="B373" s="6" t="str">
        <f t="shared" si="5"/>
        <v>TA1440</v>
      </c>
      <c r="C373" s="6" t="s">
        <v>790</v>
      </c>
      <c r="D373" s="6" t="s">
        <v>12</v>
      </c>
      <c r="E373" s="6" t="s">
        <v>13</v>
      </c>
      <c r="F373" s="6" t="s">
        <v>13</v>
      </c>
      <c r="G373" s="6" t="s">
        <v>88</v>
      </c>
      <c r="H373" s="7">
        <v>235.7</v>
      </c>
      <c r="I373" s="6"/>
      <c r="J373" s="6"/>
      <c r="K373" s="6"/>
      <c r="L373" s="6"/>
      <c r="M373" s="6" t="s">
        <v>97</v>
      </c>
      <c r="N373" s="7">
        <v>8.6</v>
      </c>
    </row>
    <row r="374" spans="1:14" x14ac:dyDescent="0.25">
      <c r="A374" s="6" t="s">
        <v>791</v>
      </c>
      <c r="B374" s="6" t="str">
        <f t="shared" si="5"/>
        <v>TA1460</v>
      </c>
      <c r="C374" s="6" t="s">
        <v>792</v>
      </c>
      <c r="D374" s="6" t="s">
        <v>12</v>
      </c>
      <c r="E374" s="6" t="s">
        <v>13</v>
      </c>
      <c r="F374" s="6" t="s">
        <v>13</v>
      </c>
      <c r="G374" s="6" t="s">
        <v>88</v>
      </c>
      <c r="H374" s="7">
        <v>273</v>
      </c>
      <c r="I374" s="6"/>
      <c r="J374" s="6"/>
      <c r="K374" s="6"/>
      <c r="L374" s="6"/>
      <c r="M374" s="6" t="s">
        <v>97</v>
      </c>
      <c r="N374" s="7">
        <v>9.75</v>
      </c>
    </row>
    <row r="375" spans="1:14" x14ac:dyDescent="0.25">
      <c r="A375" s="6" t="s">
        <v>793</v>
      </c>
      <c r="B375" s="6" t="str">
        <f t="shared" si="5"/>
        <v>TA1490</v>
      </c>
      <c r="C375" s="6" t="s">
        <v>794</v>
      </c>
      <c r="D375" s="6" t="s">
        <v>12</v>
      </c>
      <c r="E375" s="6" t="s">
        <v>13</v>
      </c>
      <c r="F375" s="6" t="s">
        <v>13</v>
      </c>
      <c r="G375" s="6" t="s">
        <v>25</v>
      </c>
      <c r="H375" s="7">
        <v>15.5</v>
      </c>
      <c r="I375" s="6" t="s">
        <v>26</v>
      </c>
      <c r="J375" s="7">
        <v>17</v>
      </c>
      <c r="K375" s="6" t="s">
        <v>27</v>
      </c>
      <c r="L375" s="7">
        <v>26.4</v>
      </c>
      <c r="M375" s="6" t="s">
        <v>231</v>
      </c>
      <c r="N375" s="7">
        <v>3.8</v>
      </c>
    </row>
    <row r="376" spans="1:14" x14ac:dyDescent="0.25">
      <c r="A376" s="6" t="s">
        <v>795</v>
      </c>
      <c r="B376" s="6" t="str">
        <f t="shared" si="5"/>
        <v>TA1510</v>
      </c>
      <c r="C376" s="6" t="s">
        <v>796</v>
      </c>
      <c r="D376" s="6" t="s">
        <v>12</v>
      </c>
      <c r="E376" s="6" t="s">
        <v>13</v>
      </c>
      <c r="F376" s="6" t="s">
        <v>13</v>
      </c>
      <c r="G376" s="6" t="s">
        <v>51</v>
      </c>
      <c r="H376" s="7">
        <v>41.9</v>
      </c>
      <c r="I376" s="6" t="s">
        <v>52</v>
      </c>
      <c r="J376" s="7">
        <v>19.8</v>
      </c>
      <c r="K376" s="6" t="s">
        <v>53</v>
      </c>
      <c r="L376" s="7">
        <v>104.6</v>
      </c>
      <c r="M376" s="6" t="s">
        <v>28</v>
      </c>
      <c r="N376" s="7">
        <v>0.93</v>
      </c>
    </row>
    <row r="377" spans="1:14" x14ac:dyDescent="0.25">
      <c r="A377" s="6" t="s">
        <v>797</v>
      </c>
      <c r="B377" s="6" t="str">
        <f t="shared" si="5"/>
        <v>TA1700</v>
      </c>
      <c r="C377" s="6" t="s">
        <v>798</v>
      </c>
      <c r="D377" s="6" t="s">
        <v>12</v>
      </c>
      <c r="E377" s="6" t="s">
        <v>13</v>
      </c>
      <c r="F377" s="6" t="s">
        <v>13</v>
      </c>
      <c r="G377" s="6" t="s">
        <v>51</v>
      </c>
      <c r="H377" s="7">
        <v>34.6</v>
      </c>
      <c r="I377" s="6" t="s">
        <v>52</v>
      </c>
      <c r="J377" s="7">
        <v>18.7</v>
      </c>
      <c r="K377" s="6" t="s">
        <v>53</v>
      </c>
      <c r="L377" s="7">
        <v>74.5</v>
      </c>
      <c r="M377" s="6" t="s">
        <v>28</v>
      </c>
      <c r="N377" s="7">
        <v>3.27</v>
      </c>
    </row>
    <row r="378" spans="1:14" x14ac:dyDescent="0.25">
      <c r="A378" s="6" t="s">
        <v>799</v>
      </c>
      <c r="B378" s="6" t="str">
        <f t="shared" si="5"/>
        <v>TA1530</v>
      </c>
      <c r="C378" s="6" t="s">
        <v>800</v>
      </c>
      <c r="D378" s="6" t="s">
        <v>12</v>
      </c>
      <c r="E378" s="6" t="s">
        <v>13</v>
      </c>
      <c r="F378" s="6" t="s">
        <v>13</v>
      </c>
      <c r="G378" s="6" t="s">
        <v>43</v>
      </c>
      <c r="H378" s="7">
        <v>21.35</v>
      </c>
      <c r="I378" s="6" t="s">
        <v>44</v>
      </c>
      <c r="J378" s="7">
        <v>5.65</v>
      </c>
      <c r="K378" s="6"/>
      <c r="L378" s="6"/>
      <c r="M378" s="6"/>
      <c r="N378" s="6"/>
    </row>
    <row r="379" spans="1:14" x14ac:dyDescent="0.25">
      <c r="A379" s="6" t="s">
        <v>801</v>
      </c>
      <c r="B379" s="6" t="str">
        <f t="shared" si="5"/>
        <v>TA1760</v>
      </c>
      <c r="C379" s="6" t="s">
        <v>802</v>
      </c>
      <c r="D379" s="6" t="s">
        <v>12</v>
      </c>
      <c r="E379" s="6" t="s">
        <v>13</v>
      </c>
      <c r="F379" s="6" t="s">
        <v>13</v>
      </c>
      <c r="G379" s="6" t="s">
        <v>66</v>
      </c>
      <c r="H379" s="7">
        <v>30.4</v>
      </c>
      <c r="I379" s="6"/>
      <c r="J379" s="6"/>
      <c r="K379" s="6"/>
      <c r="L379" s="6"/>
      <c r="M379" s="6"/>
      <c r="N379" s="6"/>
    </row>
    <row r="380" spans="1:14" x14ac:dyDescent="0.25">
      <c r="A380" s="6" t="s">
        <v>803</v>
      </c>
      <c r="B380" s="6" t="str">
        <f t="shared" si="5"/>
        <v>TA1590</v>
      </c>
      <c r="C380" s="6" t="s">
        <v>804</v>
      </c>
      <c r="D380" s="6" t="s">
        <v>12</v>
      </c>
      <c r="E380" s="6" t="s">
        <v>13</v>
      </c>
      <c r="F380" s="6" t="s">
        <v>13</v>
      </c>
      <c r="G380" s="6" t="s">
        <v>31</v>
      </c>
      <c r="H380" s="7">
        <v>16.38</v>
      </c>
      <c r="I380" s="6" t="s">
        <v>32</v>
      </c>
      <c r="J380" s="7">
        <v>13.39</v>
      </c>
      <c r="K380" s="6" t="s">
        <v>33</v>
      </c>
      <c r="L380" s="7">
        <v>36.54</v>
      </c>
      <c r="M380" s="6" t="s">
        <v>34</v>
      </c>
      <c r="N380" s="7">
        <v>1.62</v>
      </c>
    </row>
    <row r="381" spans="1:14" x14ac:dyDescent="0.25">
      <c r="A381" s="6" t="s">
        <v>805</v>
      </c>
      <c r="B381" s="6" t="str">
        <f t="shared" si="5"/>
        <v>TA1600</v>
      </c>
      <c r="C381" s="6" t="s">
        <v>806</v>
      </c>
      <c r="D381" s="6" t="s">
        <v>12</v>
      </c>
      <c r="E381" s="6" t="s">
        <v>13</v>
      </c>
      <c r="F381" s="6" t="s">
        <v>13</v>
      </c>
      <c r="G381" s="6" t="s">
        <v>31</v>
      </c>
      <c r="H381" s="7">
        <v>22.74</v>
      </c>
      <c r="I381" s="6" t="s">
        <v>37</v>
      </c>
      <c r="J381" s="7">
        <v>8.07</v>
      </c>
      <c r="K381" s="6" t="s">
        <v>38</v>
      </c>
      <c r="L381" s="7">
        <v>41.26</v>
      </c>
      <c r="M381" s="6" t="s">
        <v>34</v>
      </c>
      <c r="N381" s="7">
        <v>1.83</v>
      </c>
    </row>
    <row r="382" spans="1:14" x14ac:dyDescent="0.25">
      <c r="A382" s="6" t="s">
        <v>807</v>
      </c>
      <c r="B382" s="6" t="str">
        <f t="shared" si="5"/>
        <v>TA1620</v>
      </c>
      <c r="C382" s="6" t="s">
        <v>808</v>
      </c>
      <c r="D382" s="6" t="s">
        <v>12</v>
      </c>
      <c r="E382" s="6" t="s">
        <v>13</v>
      </c>
      <c r="F382" s="6" t="s">
        <v>13</v>
      </c>
      <c r="G382" s="6" t="s">
        <v>31</v>
      </c>
      <c r="H382" s="7">
        <v>24.72</v>
      </c>
      <c r="I382" s="6" t="s">
        <v>32</v>
      </c>
      <c r="J382" s="7">
        <v>20.21</v>
      </c>
      <c r="K382" s="6" t="s">
        <v>33</v>
      </c>
      <c r="L382" s="7">
        <v>55.15</v>
      </c>
      <c r="M382" s="6" t="s">
        <v>34</v>
      </c>
      <c r="N382" s="7">
        <v>2.4500000000000002</v>
      </c>
    </row>
    <row r="383" spans="1:14" x14ac:dyDescent="0.25">
      <c r="A383" s="6" t="s">
        <v>809</v>
      </c>
      <c r="B383" s="6" t="str">
        <f t="shared" si="5"/>
        <v>TA1650</v>
      </c>
      <c r="C383" s="6" t="s">
        <v>810</v>
      </c>
      <c r="D383" s="6" t="s">
        <v>12</v>
      </c>
      <c r="E383" s="6" t="s">
        <v>13</v>
      </c>
      <c r="F383" s="6" t="s">
        <v>13</v>
      </c>
      <c r="G383" s="6" t="s">
        <v>31</v>
      </c>
      <c r="H383" s="7">
        <v>13.75</v>
      </c>
      <c r="I383" s="6" t="s">
        <v>32</v>
      </c>
      <c r="J383" s="7">
        <v>11.24</v>
      </c>
      <c r="K383" s="6" t="s">
        <v>33</v>
      </c>
      <c r="L383" s="7">
        <v>30.68</v>
      </c>
      <c r="M383" s="6" t="s">
        <v>34</v>
      </c>
      <c r="N383" s="7">
        <v>1.36</v>
      </c>
    </row>
    <row r="384" spans="1:14" x14ac:dyDescent="0.25">
      <c r="A384" s="6" t="s">
        <v>811</v>
      </c>
      <c r="B384" s="6" t="str">
        <f t="shared" si="5"/>
        <v>TA1750</v>
      </c>
      <c r="C384" s="6" t="s">
        <v>812</v>
      </c>
      <c r="D384" s="6" t="s">
        <v>12</v>
      </c>
      <c r="E384" s="6" t="s">
        <v>13</v>
      </c>
      <c r="F384" s="6" t="s">
        <v>13</v>
      </c>
      <c r="G384" s="6" t="s">
        <v>43</v>
      </c>
      <c r="H384" s="7">
        <v>25.88</v>
      </c>
      <c r="I384" s="6" t="s">
        <v>44</v>
      </c>
      <c r="J384" s="7">
        <v>3.7</v>
      </c>
      <c r="K384" s="6"/>
      <c r="L384" s="6"/>
      <c r="M384" s="6"/>
      <c r="N384" s="6"/>
    </row>
    <row r="385" spans="1:14" x14ac:dyDescent="0.25">
      <c r="A385" s="6" t="s">
        <v>145</v>
      </c>
      <c r="B385" s="6" t="str">
        <f t="shared" si="5"/>
        <v>TA1371</v>
      </c>
      <c r="C385" s="6" t="s">
        <v>146</v>
      </c>
      <c r="D385" s="6" t="s">
        <v>12</v>
      </c>
      <c r="E385" s="6" t="s">
        <v>13</v>
      </c>
      <c r="F385" s="6" t="s">
        <v>813</v>
      </c>
      <c r="G385" s="6" t="s">
        <v>25</v>
      </c>
      <c r="H385" s="7">
        <v>10.56</v>
      </c>
      <c r="I385" s="6" t="s">
        <v>26</v>
      </c>
      <c r="J385" s="7">
        <v>29.59</v>
      </c>
      <c r="K385" s="6" t="s">
        <v>27</v>
      </c>
      <c r="L385" s="7">
        <v>29.65</v>
      </c>
      <c r="M385" s="6" t="s">
        <v>28</v>
      </c>
      <c r="N385" s="7">
        <v>3.8</v>
      </c>
    </row>
    <row r="386" spans="1:14" x14ac:dyDescent="0.25">
      <c r="A386" s="6" t="s">
        <v>77</v>
      </c>
      <c r="B386" s="6" t="str">
        <f t="shared" ref="B386:B449" si="6">MID(A386,8,6)</f>
        <v>TA1942</v>
      </c>
      <c r="C386" s="6" t="s">
        <v>78</v>
      </c>
      <c r="D386" s="6" t="s">
        <v>12</v>
      </c>
      <c r="E386" s="6" t="s">
        <v>13</v>
      </c>
      <c r="F386" s="6" t="s">
        <v>813</v>
      </c>
      <c r="G386" s="6" t="s">
        <v>25</v>
      </c>
      <c r="H386" s="7">
        <v>5.36</v>
      </c>
      <c r="I386" s="6" t="s">
        <v>26</v>
      </c>
      <c r="J386" s="7">
        <v>15.01</v>
      </c>
      <c r="K386" s="6" t="s">
        <v>27</v>
      </c>
      <c r="L386" s="7">
        <v>15.04</v>
      </c>
      <c r="M386" s="6" t="s">
        <v>28</v>
      </c>
      <c r="N386" s="7">
        <v>1.93</v>
      </c>
    </row>
    <row r="387" spans="1:14" x14ac:dyDescent="0.25">
      <c r="A387" s="6" t="s">
        <v>79</v>
      </c>
      <c r="B387" s="6" t="str">
        <f t="shared" si="6"/>
        <v>TA1941</v>
      </c>
      <c r="C387" s="6" t="s">
        <v>80</v>
      </c>
      <c r="D387" s="6" t="s">
        <v>12</v>
      </c>
      <c r="E387" s="6" t="s">
        <v>13</v>
      </c>
      <c r="F387" s="6" t="s">
        <v>813</v>
      </c>
      <c r="G387" s="6" t="s">
        <v>25</v>
      </c>
      <c r="H387" s="7">
        <v>8.06</v>
      </c>
      <c r="I387" s="6" t="s">
        <v>26</v>
      </c>
      <c r="J387" s="7">
        <v>22.6</v>
      </c>
      <c r="K387" s="6" t="s">
        <v>27</v>
      </c>
      <c r="L387" s="7">
        <v>22.64</v>
      </c>
      <c r="M387" s="6" t="s">
        <v>28</v>
      </c>
      <c r="N387" s="7">
        <v>2.9</v>
      </c>
    </row>
    <row r="388" spans="1:14" x14ac:dyDescent="0.25">
      <c r="A388" s="6" t="s">
        <v>73</v>
      </c>
      <c r="B388" s="6" t="str">
        <f t="shared" si="6"/>
        <v>TA1922</v>
      </c>
      <c r="C388" s="6" t="s">
        <v>74</v>
      </c>
      <c r="D388" s="6" t="s">
        <v>12</v>
      </c>
      <c r="E388" s="6" t="s">
        <v>13</v>
      </c>
      <c r="F388" s="6" t="s">
        <v>813</v>
      </c>
      <c r="G388" s="6" t="s">
        <v>25</v>
      </c>
      <c r="H388" s="7">
        <v>6.74</v>
      </c>
      <c r="I388" s="6" t="s">
        <v>26</v>
      </c>
      <c r="J388" s="7">
        <v>18.88</v>
      </c>
      <c r="K388" s="6" t="s">
        <v>27</v>
      </c>
      <c r="L388" s="7">
        <v>18.920000000000002</v>
      </c>
      <c r="M388" s="6" t="s">
        <v>28</v>
      </c>
      <c r="N388" s="7">
        <v>2.42</v>
      </c>
    </row>
    <row r="389" spans="1:14" x14ac:dyDescent="0.25">
      <c r="A389" s="6" t="s">
        <v>81</v>
      </c>
      <c r="B389" s="6" t="str">
        <f t="shared" si="6"/>
        <v>TA1950</v>
      </c>
      <c r="C389" s="6" t="s">
        <v>82</v>
      </c>
      <c r="D389" s="6" t="s">
        <v>12</v>
      </c>
      <c r="E389" s="6" t="s">
        <v>13</v>
      </c>
      <c r="F389" s="6" t="s">
        <v>813</v>
      </c>
      <c r="G389" s="6" t="s">
        <v>25</v>
      </c>
      <c r="H389" s="7">
        <v>11.94</v>
      </c>
      <c r="I389" s="6" t="s">
        <v>26</v>
      </c>
      <c r="J389" s="7">
        <v>33.46</v>
      </c>
      <c r="K389" s="6" t="s">
        <v>27</v>
      </c>
      <c r="L389" s="7">
        <v>33.53</v>
      </c>
      <c r="M389" s="6" t="s">
        <v>28</v>
      </c>
      <c r="N389" s="7">
        <v>4.29</v>
      </c>
    </row>
    <row r="390" spans="1:14" x14ac:dyDescent="0.25">
      <c r="A390" s="6" t="s">
        <v>49</v>
      </c>
      <c r="B390" s="6" t="str">
        <f t="shared" si="6"/>
        <v>TA1921</v>
      </c>
      <c r="C390" s="6" t="s">
        <v>50</v>
      </c>
      <c r="D390" s="6" t="s">
        <v>12</v>
      </c>
      <c r="E390" s="6" t="s">
        <v>13</v>
      </c>
      <c r="F390" s="6" t="s">
        <v>813</v>
      </c>
      <c r="G390" s="6" t="s">
        <v>25</v>
      </c>
      <c r="H390" s="7">
        <v>8.68</v>
      </c>
      <c r="I390" s="6" t="s">
        <v>26</v>
      </c>
      <c r="J390" s="7">
        <v>24.32</v>
      </c>
      <c r="K390" s="6" t="s">
        <v>27</v>
      </c>
      <c r="L390" s="7">
        <v>28.36</v>
      </c>
      <c r="M390" s="6" t="s">
        <v>28</v>
      </c>
      <c r="N390" s="7">
        <v>3.12</v>
      </c>
    </row>
    <row r="391" spans="1:14" x14ac:dyDescent="0.25">
      <c r="A391" s="6" t="s">
        <v>67</v>
      </c>
      <c r="B391" s="6" t="str">
        <f t="shared" si="6"/>
        <v>TA1882</v>
      </c>
      <c r="C391" s="6" t="s">
        <v>68</v>
      </c>
      <c r="D391" s="6" t="s">
        <v>12</v>
      </c>
      <c r="E391" s="6" t="s">
        <v>13</v>
      </c>
      <c r="F391" s="6" t="s">
        <v>813</v>
      </c>
      <c r="G391" s="6" t="s">
        <v>25</v>
      </c>
      <c r="H391" s="7">
        <v>8.0299999999999994</v>
      </c>
      <c r="I391" s="6" t="s">
        <v>26</v>
      </c>
      <c r="J391" s="7">
        <v>22.49</v>
      </c>
      <c r="K391" s="6" t="s">
        <v>27</v>
      </c>
      <c r="L391" s="7">
        <v>22.53</v>
      </c>
      <c r="M391" s="6" t="s">
        <v>28</v>
      </c>
      <c r="N391" s="7">
        <v>2.88</v>
      </c>
    </row>
    <row r="392" spans="1:14" x14ac:dyDescent="0.25">
      <c r="A392" s="6" t="s">
        <v>75</v>
      </c>
      <c r="B392" s="6" t="str">
        <f t="shared" si="6"/>
        <v>TA1881</v>
      </c>
      <c r="C392" s="6" t="s">
        <v>76</v>
      </c>
      <c r="D392" s="6" t="s">
        <v>12</v>
      </c>
      <c r="E392" s="6" t="s">
        <v>13</v>
      </c>
      <c r="F392" s="6" t="s">
        <v>813</v>
      </c>
      <c r="G392" s="6" t="s">
        <v>25</v>
      </c>
      <c r="H392" s="7">
        <v>8.4700000000000006</v>
      </c>
      <c r="I392" s="6" t="s">
        <v>26</v>
      </c>
      <c r="J392" s="7">
        <v>23.73</v>
      </c>
      <c r="K392" s="6" t="s">
        <v>27</v>
      </c>
      <c r="L392" s="7">
        <v>23.77</v>
      </c>
      <c r="M392" s="6" t="s">
        <v>28</v>
      </c>
      <c r="N392" s="7">
        <v>3.04</v>
      </c>
    </row>
    <row r="393" spans="1:14" x14ac:dyDescent="0.25">
      <c r="A393" s="6" t="s">
        <v>135</v>
      </c>
      <c r="B393" s="6" t="str">
        <f t="shared" si="6"/>
        <v>TA1742</v>
      </c>
      <c r="C393" s="6" t="s">
        <v>136</v>
      </c>
      <c r="D393" s="6" t="s">
        <v>12</v>
      </c>
      <c r="E393" s="6" t="s">
        <v>13</v>
      </c>
      <c r="F393" s="6" t="s">
        <v>813</v>
      </c>
      <c r="G393" s="6" t="s">
        <v>229</v>
      </c>
      <c r="H393" s="7">
        <v>9.8699999999999992</v>
      </c>
      <c r="I393" s="6" t="s">
        <v>52</v>
      </c>
      <c r="J393" s="7">
        <v>27.65</v>
      </c>
      <c r="K393" s="6" t="s">
        <v>53</v>
      </c>
      <c r="L393" s="7">
        <v>27.7</v>
      </c>
      <c r="M393" s="6" t="s">
        <v>28</v>
      </c>
      <c r="N393" s="7">
        <v>3.55</v>
      </c>
    </row>
    <row r="394" spans="1:14" x14ac:dyDescent="0.25">
      <c r="A394" s="6" t="s">
        <v>742</v>
      </c>
      <c r="B394" s="6" t="str">
        <f t="shared" si="6"/>
        <v>TA1500</v>
      </c>
      <c r="C394" s="6" t="s">
        <v>743</v>
      </c>
      <c r="D394" s="6" t="s">
        <v>12</v>
      </c>
      <c r="E394" s="6" t="s">
        <v>13</v>
      </c>
      <c r="F394" s="6" t="s">
        <v>813</v>
      </c>
      <c r="G394" s="6" t="s">
        <v>229</v>
      </c>
      <c r="H394" s="7">
        <v>11.13</v>
      </c>
      <c r="I394" s="6" t="s">
        <v>52</v>
      </c>
      <c r="J394" s="7">
        <v>34.090000000000003</v>
      </c>
      <c r="K394" s="6" t="s">
        <v>53</v>
      </c>
      <c r="L394" s="7">
        <v>39.619999999999997</v>
      </c>
      <c r="M394" s="6" t="s">
        <v>28</v>
      </c>
      <c r="N394" s="7">
        <v>4.3499999999999996</v>
      </c>
    </row>
    <row r="395" spans="1:14" x14ac:dyDescent="0.25">
      <c r="A395" s="6" t="s">
        <v>630</v>
      </c>
      <c r="B395" s="6" t="str">
        <f t="shared" si="6"/>
        <v>PM1041</v>
      </c>
      <c r="C395" s="6" t="s">
        <v>631</v>
      </c>
      <c r="D395" s="6" t="s">
        <v>12</v>
      </c>
      <c r="E395" s="6" t="s">
        <v>13</v>
      </c>
      <c r="F395" s="6" t="s">
        <v>813</v>
      </c>
      <c r="G395" s="6" t="s">
        <v>229</v>
      </c>
      <c r="H395" s="7">
        <v>23.94</v>
      </c>
      <c r="I395" s="6" t="s">
        <v>230</v>
      </c>
      <c r="J395" s="7">
        <v>60.52</v>
      </c>
      <c r="K395" s="6"/>
      <c r="L395" s="6"/>
      <c r="M395" s="6" t="s">
        <v>28</v>
      </c>
      <c r="N395" s="7">
        <v>3.93</v>
      </c>
    </row>
    <row r="396" spans="1:14" x14ac:dyDescent="0.25">
      <c r="A396" s="6" t="s">
        <v>650</v>
      </c>
      <c r="B396" s="6" t="str">
        <f t="shared" si="6"/>
        <v>PM1042</v>
      </c>
      <c r="C396" s="6" t="s">
        <v>651</v>
      </c>
      <c r="D396" s="6" t="s">
        <v>12</v>
      </c>
      <c r="E396" s="6" t="s">
        <v>13</v>
      </c>
      <c r="F396" s="6" t="s">
        <v>813</v>
      </c>
      <c r="G396" s="6" t="s">
        <v>229</v>
      </c>
      <c r="H396" s="7">
        <v>8.4</v>
      </c>
      <c r="I396" s="6" t="s">
        <v>230</v>
      </c>
      <c r="J396" s="7">
        <v>55.58</v>
      </c>
      <c r="K396" s="6"/>
      <c r="L396" s="6"/>
      <c r="M396" s="6" t="s">
        <v>231</v>
      </c>
      <c r="N396" s="7">
        <v>3.28</v>
      </c>
    </row>
    <row r="397" spans="1:14" x14ac:dyDescent="0.25">
      <c r="A397" s="6" t="s">
        <v>634</v>
      </c>
      <c r="B397" s="6" t="str">
        <f t="shared" si="6"/>
        <v>PM105A</v>
      </c>
      <c r="C397" s="6" t="s">
        <v>635</v>
      </c>
      <c r="D397" s="6" t="s">
        <v>12</v>
      </c>
      <c r="E397" s="6" t="s">
        <v>13</v>
      </c>
      <c r="F397" s="6" t="s">
        <v>813</v>
      </c>
      <c r="G397" s="6" t="s">
        <v>229</v>
      </c>
      <c r="H397" s="7">
        <v>5.26</v>
      </c>
      <c r="I397" s="6" t="s">
        <v>230</v>
      </c>
      <c r="J397" s="7">
        <v>34.840000000000003</v>
      </c>
      <c r="K397" s="6"/>
      <c r="L397" s="6"/>
      <c r="M397" s="6" t="s">
        <v>28</v>
      </c>
      <c r="N397" s="7">
        <v>2.0299999999999998</v>
      </c>
    </row>
    <row r="398" spans="1:14" x14ac:dyDescent="0.25">
      <c r="A398" s="6" t="s">
        <v>551</v>
      </c>
      <c r="B398" s="6" t="str">
        <f t="shared" si="6"/>
        <v>TA2532</v>
      </c>
      <c r="C398" s="6" t="s">
        <v>552</v>
      </c>
      <c r="D398" s="6" t="s">
        <v>12</v>
      </c>
      <c r="E398" s="6" t="s">
        <v>13</v>
      </c>
      <c r="F398" s="6" t="s">
        <v>813</v>
      </c>
      <c r="G398" s="6" t="s">
        <v>25</v>
      </c>
      <c r="H398" s="7">
        <v>10.54</v>
      </c>
      <c r="I398" s="6" t="s">
        <v>26</v>
      </c>
      <c r="J398" s="7">
        <v>29.54</v>
      </c>
      <c r="K398" s="6" t="s">
        <v>27</v>
      </c>
      <c r="L398" s="7">
        <v>29.59</v>
      </c>
      <c r="M398" s="6" t="s">
        <v>28</v>
      </c>
      <c r="N398" s="7">
        <v>3.79</v>
      </c>
    </row>
    <row r="399" spans="1:14" x14ac:dyDescent="0.25">
      <c r="A399" s="6" t="s">
        <v>530</v>
      </c>
      <c r="B399" s="6" t="str">
        <f t="shared" si="6"/>
        <v>TA2522</v>
      </c>
      <c r="C399" s="6" t="s">
        <v>531</v>
      </c>
      <c r="D399" s="6" t="s">
        <v>12</v>
      </c>
      <c r="E399" s="6" t="s">
        <v>13</v>
      </c>
      <c r="F399" s="6" t="s">
        <v>813</v>
      </c>
      <c r="G399" s="6" t="s">
        <v>25</v>
      </c>
      <c r="H399" s="7">
        <v>6.93</v>
      </c>
      <c r="I399" s="6" t="s">
        <v>26</v>
      </c>
      <c r="J399" s="7">
        <v>19.420000000000002</v>
      </c>
      <c r="K399" s="6" t="s">
        <v>27</v>
      </c>
      <c r="L399" s="7">
        <v>19.46</v>
      </c>
      <c r="M399" s="6" t="s">
        <v>28</v>
      </c>
      <c r="N399" s="7">
        <v>2.4900000000000002</v>
      </c>
    </row>
    <row r="400" spans="1:14" x14ac:dyDescent="0.25">
      <c r="A400" s="6" t="s">
        <v>548</v>
      </c>
      <c r="B400" s="6" t="str">
        <f t="shared" si="6"/>
        <v>TA2521</v>
      </c>
      <c r="C400" s="6" t="s">
        <v>531</v>
      </c>
      <c r="D400" s="6" t="s">
        <v>12</v>
      </c>
      <c r="E400" s="6" t="s">
        <v>13</v>
      </c>
      <c r="F400" s="6" t="s">
        <v>813</v>
      </c>
      <c r="G400" s="6" t="s">
        <v>25</v>
      </c>
      <c r="H400" s="7">
        <v>7.12</v>
      </c>
      <c r="I400" s="6" t="s">
        <v>26</v>
      </c>
      <c r="J400" s="7">
        <v>19.96</v>
      </c>
      <c r="K400" s="6" t="s">
        <v>27</v>
      </c>
      <c r="L400" s="7">
        <v>20</v>
      </c>
      <c r="M400" s="6" t="s">
        <v>28</v>
      </c>
      <c r="N400" s="7">
        <v>2.56</v>
      </c>
    </row>
    <row r="401" spans="1:14" x14ac:dyDescent="0.25">
      <c r="A401" s="6" t="s">
        <v>90</v>
      </c>
      <c r="B401" s="6" t="str">
        <f t="shared" si="6"/>
        <v>TA1731</v>
      </c>
      <c r="C401" s="6" t="s">
        <v>91</v>
      </c>
      <c r="D401" s="6" t="s">
        <v>12</v>
      </c>
      <c r="E401" s="6" t="s">
        <v>13</v>
      </c>
      <c r="F401" s="6" t="s">
        <v>813</v>
      </c>
      <c r="G401" s="6" t="s">
        <v>25</v>
      </c>
      <c r="H401" s="7">
        <v>9.06</v>
      </c>
      <c r="I401" s="6" t="s">
        <v>26</v>
      </c>
      <c r="J401" s="7">
        <v>25.39</v>
      </c>
      <c r="K401" s="6" t="s">
        <v>27</v>
      </c>
      <c r="L401" s="7">
        <v>25.44</v>
      </c>
      <c r="M401" s="6" t="s">
        <v>28</v>
      </c>
      <c r="N401" s="7">
        <v>3.26</v>
      </c>
    </row>
    <row r="402" spans="1:14" x14ac:dyDescent="0.25">
      <c r="A402" s="6" t="s">
        <v>60</v>
      </c>
      <c r="B402" s="6" t="str">
        <f t="shared" si="6"/>
        <v>TA1722</v>
      </c>
      <c r="C402" s="6" t="s">
        <v>61</v>
      </c>
      <c r="D402" s="6" t="s">
        <v>12</v>
      </c>
      <c r="E402" s="6" t="s">
        <v>13</v>
      </c>
      <c r="F402" s="6" t="s">
        <v>813</v>
      </c>
      <c r="G402" s="6" t="s">
        <v>25</v>
      </c>
      <c r="H402" s="7">
        <v>10.54</v>
      </c>
      <c r="I402" s="6" t="s">
        <v>26</v>
      </c>
      <c r="J402" s="7">
        <v>29.54</v>
      </c>
      <c r="K402" s="6" t="s">
        <v>27</v>
      </c>
      <c r="L402" s="7">
        <v>29.59</v>
      </c>
      <c r="M402" s="6" t="s">
        <v>28</v>
      </c>
      <c r="N402" s="7">
        <v>3.79</v>
      </c>
    </row>
    <row r="403" spans="1:14" x14ac:dyDescent="0.25">
      <c r="A403" s="6" t="s">
        <v>600</v>
      </c>
      <c r="B403" s="6" t="str">
        <f t="shared" si="6"/>
        <v>TA137B</v>
      </c>
      <c r="C403" s="6" t="s">
        <v>601</v>
      </c>
      <c r="D403" s="6" t="s">
        <v>12</v>
      </c>
      <c r="E403" s="6" t="s">
        <v>13</v>
      </c>
      <c r="F403" s="6" t="s">
        <v>813</v>
      </c>
      <c r="G403" s="6" t="s">
        <v>229</v>
      </c>
      <c r="H403" s="7">
        <v>6.01</v>
      </c>
      <c r="I403" s="6" t="s">
        <v>52</v>
      </c>
      <c r="J403" s="7">
        <v>18.399999999999999</v>
      </c>
      <c r="K403" s="6" t="s">
        <v>53</v>
      </c>
      <c r="L403" s="7">
        <v>21.4</v>
      </c>
      <c r="M403" s="6" t="s">
        <v>28</v>
      </c>
      <c r="N403" s="7">
        <v>2.35</v>
      </c>
    </row>
    <row r="404" spans="1:14" x14ac:dyDescent="0.25">
      <c r="A404" s="6" t="s">
        <v>528</v>
      </c>
      <c r="B404" s="6" t="str">
        <f t="shared" si="6"/>
        <v>TA172A</v>
      </c>
      <c r="C404" s="6" t="s">
        <v>529</v>
      </c>
      <c r="D404" s="6" t="s">
        <v>12</v>
      </c>
      <c r="E404" s="6" t="s">
        <v>13</v>
      </c>
      <c r="F404" s="6" t="s">
        <v>813</v>
      </c>
      <c r="G404" s="6" t="s">
        <v>25</v>
      </c>
      <c r="H404" s="7">
        <v>10.54</v>
      </c>
      <c r="I404" s="6" t="s">
        <v>26</v>
      </c>
      <c r="J404" s="7">
        <v>29.54</v>
      </c>
      <c r="K404" s="6" t="s">
        <v>27</v>
      </c>
      <c r="L404" s="7">
        <v>25.59</v>
      </c>
      <c r="M404" s="6" t="s">
        <v>28</v>
      </c>
      <c r="N404" s="7">
        <v>3.79</v>
      </c>
    </row>
    <row r="405" spans="1:14" x14ac:dyDescent="0.25">
      <c r="A405" s="6" t="s">
        <v>797</v>
      </c>
      <c r="B405" s="6" t="str">
        <f t="shared" si="6"/>
        <v>TA1700</v>
      </c>
      <c r="C405" s="6" t="s">
        <v>798</v>
      </c>
      <c r="D405" s="6" t="s">
        <v>12</v>
      </c>
      <c r="E405" s="6" t="s">
        <v>13</v>
      </c>
      <c r="F405" s="6" t="s">
        <v>813</v>
      </c>
      <c r="G405" s="6" t="s">
        <v>229</v>
      </c>
      <c r="H405" s="7">
        <v>30.6</v>
      </c>
      <c r="I405" s="6" t="s">
        <v>52</v>
      </c>
      <c r="J405" s="7">
        <v>18.7</v>
      </c>
      <c r="K405" s="6" t="s">
        <v>53</v>
      </c>
      <c r="L405" s="7">
        <v>74.5</v>
      </c>
      <c r="M405" s="6" t="s">
        <v>28</v>
      </c>
      <c r="N405" s="7">
        <v>3.27</v>
      </c>
    </row>
    <row r="406" spans="1:14" x14ac:dyDescent="0.25">
      <c r="A406" s="6" t="s">
        <v>630</v>
      </c>
      <c r="B406" s="6" t="str">
        <f t="shared" si="6"/>
        <v>PM1041</v>
      </c>
      <c r="C406" s="6" t="s">
        <v>631</v>
      </c>
      <c r="D406" s="6" t="s">
        <v>12</v>
      </c>
      <c r="E406" s="6" t="s">
        <v>13</v>
      </c>
      <c r="F406" s="6" t="s">
        <v>814</v>
      </c>
      <c r="G406" s="6" t="s">
        <v>229</v>
      </c>
      <c r="H406" s="7">
        <v>23.69</v>
      </c>
      <c r="I406" s="6" t="s">
        <v>52</v>
      </c>
      <c r="J406" s="7">
        <v>56.55</v>
      </c>
      <c r="K406" s="6" t="s">
        <v>53</v>
      </c>
      <c r="L406" s="7">
        <v>73.599999999999994</v>
      </c>
      <c r="M406" s="6" t="s">
        <v>28</v>
      </c>
      <c r="N406" s="7">
        <v>4.41</v>
      </c>
    </row>
    <row r="407" spans="1:14" x14ac:dyDescent="0.25">
      <c r="A407" s="6" t="s">
        <v>451</v>
      </c>
      <c r="B407" s="6" t="str">
        <f t="shared" si="6"/>
        <v>PM1180</v>
      </c>
      <c r="C407" s="6" t="s">
        <v>452</v>
      </c>
      <c r="D407" s="6" t="s">
        <v>12</v>
      </c>
      <c r="E407" s="6" t="s">
        <v>13</v>
      </c>
      <c r="F407" s="6" t="s">
        <v>813</v>
      </c>
      <c r="G407" s="6" t="s">
        <v>229</v>
      </c>
      <c r="H407" s="7">
        <v>22.19</v>
      </c>
      <c r="I407" s="6" t="s">
        <v>52</v>
      </c>
      <c r="J407" s="7">
        <v>52.96</v>
      </c>
      <c r="K407" s="6" t="s">
        <v>53</v>
      </c>
      <c r="L407" s="7">
        <v>68.95</v>
      </c>
      <c r="M407" s="6" t="s">
        <v>28</v>
      </c>
      <c r="N407" s="7">
        <v>4.13</v>
      </c>
    </row>
    <row r="408" spans="1:14" x14ac:dyDescent="0.25">
      <c r="A408" s="6" t="s">
        <v>608</v>
      </c>
      <c r="B408" s="6" t="str">
        <f t="shared" si="6"/>
        <v>HN0170</v>
      </c>
      <c r="C408" s="6" t="s">
        <v>609</v>
      </c>
      <c r="D408" s="6" t="s">
        <v>12</v>
      </c>
      <c r="E408" s="6" t="s">
        <v>13</v>
      </c>
      <c r="F408" s="6" t="s">
        <v>813</v>
      </c>
      <c r="G408" s="6" t="s">
        <v>169</v>
      </c>
      <c r="H408" s="7">
        <v>15.01</v>
      </c>
      <c r="I408" s="6" t="s">
        <v>32</v>
      </c>
      <c r="J408" s="7">
        <v>10.69</v>
      </c>
      <c r="K408" s="6" t="s">
        <v>33</v>
      </c>
      <c r="L408" s="7">
        <v>29.18</v>
      </c>
      <c r="M408" s="6" t="s">
        <v>34</v>
      </c>
      <c r="N408" s="7">
        <v>1.3</v>
      </c>
    </row>
    <row r="409" spans="1:14" x14ac:dyDescent="0.25">
      <c r="A409" s="6" t="s">
        <v>284</v>
      </c>
      <c r="B409" s="6" t="str">
        <f t="shared" si="6"/>
        <v>HN0530</v>
      </c>
      <c r="C409" s="6" t="s">
        <v>285</v>
      </c>
      <c r="D409" s="6" t="s">
        <v>12</v>
      </c>
      <c r="E409" s="6" t="s">
        <v>13</v>
      </c>
      <c r="F409" s="6" t="s">
        <v>813</v>
      </c>
      <c r="G409" s="6" t="s">
        <v>169</v>
      </c>
      <c r="H409" s="7">
        <v>23.34</v>
      </c>
      <c r="I409" s="6" t="s">
        <v>32</v>
      </c>
      <c r="J409" s="7">
        <v>16.84</v>
      </c>
      <c r="K409" s="6" t="s">
        <v>33</v>
      </c>
      <c r="L409" s="7">
        <v>45.96</v>
      </c>
      <c r="M409" s="6" t="s">
        <v>34</v>
      </c>
      <c r="N409" s="7">
        <v>2.02</v>
      </c>
    </row>
    <row r="410" spans="1:14" x14ac:dyDescent="0.25">
      <c r="A410" s="6" t="s">
        <v>296</v>
      </c>
      <c r="B410" s="6" t="str">
        <f t="shared" si="6"/>
        <v>PM1200</v>
      </c>
      <c r="C410" s="6" t="s">
        <v>297</v>
      </c>
      <c r="D410" s="6" t="s">
        <v>12</v>
      </c>
      <c r="E410" s="6" t="s">
        <v>13</v>
      </c>
      <c r="F410" s="6" t="s">
        <v>813</v>
      </c>
      <c r="G410" s="6" t="s">
        <v>229</v>
      </c>
      <c r="H410" s="7">
        <v>39.11</v>
      </c>
      <c r="I410" s="6" t="s">
        <v>52</v>
      </c>
      <c r="J410" s="7">
        <v>93.35</v>
      </c>
      <c r="K410" s="6" t="s">
        <v>53</v>
      </c>
      <c r="L410" s="7">
        <v>121.5</v>
      </c>
      <c r="M410" s="6" t="s">
        <v>28</v>
      </c>
      <c r="N410" s="7">
        <v>7.28</v>
      </c>
    </row>
    <row r="411" spans="1:14" x14ac:dyDescent="0.25">
      <c r="A411" s="6" t="s">
        <v>210</v>
      </c>
      <c r="B411" s="6" t="str">
        <f t="shared" si="6"/>
        <v>TA2541</v>
      </c>
      <c r="C411" s="6" t="s">
        <v>211</v>
      </c>
      <c r="D411" s="6" t="s">
        <v>12</v>
      </c>
      <c r="E411" s="6" t="s">
        <v>13</v>
      </c>
      <c r="F411" s="6" t="s">
        <v>813</v>
      </c>
      <c r="G411" s="6" t="s">
        <v>25</v>
      </c>
      <c r="H411" s="7">
        <v>22.31</v>
      </c>
      <c r="I411" s="6" t="s">
        <v>26</v>
      </c>
      <c r="J411" s="7">
        <v>5.58</v>
      </c>
      <c r="K411" s="6" t="s">
        <v>27</v>
      </c>
      <c r="L411" s="7">
        <v>29.75</v>
      </c>
      <c r="M411" s="6" t="s">
        <v>28</v>
      </c>
      <c r="N411" s="7">
        <v>4.34</v>
      </c>
    </row>
    <row r="412" spans="1:14" x14ac:dyDescent="0.25">
      <c r="A412" s="6" t="s">
        <v>212</v>
      </c>
      <c r="B412" s="6" t="str">
        <f t="shared" si="6"/>
        <v>TA2542</v>
      </c>
      <c r="C412" s="6" t="s">
        <v>211</v>
      </c>
      <c r="D412" s="6" t="s">
        <v>12</v>
      </c>
      <c r="E412" s="6" t="s">
        <v>13</v>
      </c>
      <c r="F412" s="6" t="s">
        <v>813</v>
      </c>
      <c r="G412" s="6" t="s">
        <v>25</v>
      </c>
      <c r="H412" s="7">
        <v>17.32</v>
      </c>
      <c r="I412" s="6" t="s">
        <v>26</v>
      </c>
      <c r="J412" s="7">
        <v>4.33</v>
      </c>
      <c r="K412" s="6" t="s">
        <v>27</v>
      </c>
      <c r="L412" s="7">
        <v>23.1</v>
      </c>
      <c r="M412" s="6" t="s">
        <v>28</v>
      </c>
      <c r="N412" s="7">
        <v>3.37</v>
      </c>
    </row>
    <row r="413" spans="1:14" x14ac:dyDescent="0.25">
      <c r="A413" s="6" t="s">
        <v>126</v>
      </c>
      <c r="B413" s="6" t="str">
        <f t="shared" si="6"/>
        <v>TA1780</v>
      </c>
      <c r="C413" s="6" t="s">
        <v>127</v>
      </c>
      <c r="D413" s="6" t="s">
        <v>12</v>
      </c>
      <c r="E413" s="6" t="s">
        <v>13</v>
      </c>
      <c r="F413" s="6" t="s">
        <v>813</v>
      </c>
      <c r="G413" s="6" t="s">
        <v>96</v>
      </c>
      <c r="H413" s="7">
        <v>215</v>
      </c>
      <c r="I413" s="6"/>
      <c r="J413" s="6"/>
      <c r="K413" s="6"/>
      <c r="L413" s="6"/>
      <c r="M413" s="6" t="s">
        <v>97</v>
      </c>
      <c r="N413" s="7">
        <v>9.3000000000000007</v>
      </c>
    </row>
    <row r="414" spans="1:14" x14ac:dyDescent="0.25">
      <c r="A414" s="6" t="s">
        <v>540</v>
      </c>
      <c r="B414" s="6" t="str">
        <f t="shared" si="6"/>
        <v>TA2120</v>
      </c>
      <c r="C414" s="6" t="s">
        <v>541</v>
      </c>
      <c r="D414" s="6" t="s">
        <v>12</v>
      </c>
      <c r="E414" s="6" t="s">
        <v>13</v>
      </c>
      <c r="F414" s="6" t="s">
        <v>813</v>
      </c>
      <c r="G414" s="6" t="s">
        <v>96</v>
      </c>
      <c r="H414" s="7">
        <v>215</v>
      </c>
      <c r="I414" s="6"/>
      <c r="J414" s="6"/>
      <c r="K414" s="6"/>
      <c r="L414" s="6"/>
      <c r="M414" s="6" t="s">
        <v>97</v>
      </c>
      <c r="N414" s="7">
        <v>7.45</v>
      </c>
    </row>
    <row r="415" spans="1:14" x14ac:dyDescent="0.25">
      <c r="A415" s="6" t="s">
        <v>226</v>
      </c>
      <c r="B415" s="6" t="str">
        <f t="shared" si="6"/>
        <v>TA2552</v>
      </c>
      <c r="C415" s="6" t="s">
        <v>214</v>
      </c>
      <c r="D415" s="6" t="s">
        <v>12</v>
      </c>
      <c r="E415" s="6" t="s">
        <v>13</v>
      </c>
      <c r="F415" s="6" t="s">
        <v>813</v>
      </c>
      <c r="G415" s="6" t="s">
        <v>25</v>
      </c>
      <c r="H415" s="7">
        <v>20.63</v>
      </c>
      <c r="I415" s="6" t="s">
        <v>26</v>
      </c>
      <c r="J415" s="7">
        <v>5.16</v>
      </c>
      <c r="K415" s="6" t="s">
        <v>27</v>
      </c>
      <c r="L415" s="7">
        <v>27.51</v>
      </c>
      <c r="M415" s="6" t="s">
        <v>28</v>
      </c>
      <c r="N415" s="7">
        <v>4.01</v>
      </c>
    </row>
    <row r="416" spans="1:14" x14ac:dyDescent="0.25">
      <c r="A416" s="6" t="s">
        <v>618</v>
      </c>
      <c r="B416" s="6" t="str">
        <f t="shared" si="6"/>
        <v>HN0150</v>
      </c>
      <c r="C416" s="6" t="s">
        <v>619</v>
      </c>
      <c r="D416" s="6" t="s">
        <v>12</v>
      </c>
      <c r="E416" s="6" t="s">
        <v>13</v>
      </c>
      <c r="F416" s="6" t="s">
        <v>813</v>
      </c>
      <c r="G416" s="6" t="s">
        <v>169</v>
      </c>
      <c r="H416" s="7">
        <v>18.62</v>
      </c>
      <c r="I416" s="6" t="s">
        <v>32</v>
      </c>
      <c r="J416" s="7">
        <v>13.26</v>
      </c>
      <c r="K416" s="6" t="s">
        <v>33</v>
      </c>
      <c r="L416" s="7">
        <v>36.19</v>
      </c>
      <c r="M416" s="6" t="s">
        <v>34</v>
      </c>
      <c r="N416" s="7">
        <v>1.61</v>
      </c>
    </row>
    <row r="417" spans="1:14" x14ac:dyDescent="0.25">
      <c r="A417" s="6" t="s">
        <v>425</v>
      </c>
      <c r="B417" s="6" t="str">
        <f t="shared" si="6"/>
        <v>PM1240</v>
      </c>
      <c r="C417" s="6" t="s">
        <v>426</v>
      </c>
      <c r="D417" s="6" t="s">
        <v>12</v>
      </c>
      <c r="E417" s="6" t="s">
        <v>13</v>
      </c>
      <c r="F417" s="6" t="s">
        <v>813</v>
      </c>
      <c r="G417" s="6" t="s">
        <v>229</v>
      </c>
      <c r="H417" s="7">
        <v>12.53</v>
      </c>
      <c r="I417" s="6" t="s">
        <v>52</v>
      </c>
      <c r="J417" s="7">
        <v>38.36</v>
      </c>
      <c r="K417" s="6" t="s">
        <v>53</v>
      </c>
      <c r="L417" s="7">
        <v>44.59</v>
      </c>
      <c r="M417" s="6" t="s">
        <v>28</v>
      </c>
      <c r="N417" s="7">
        <v>4.9000000000000004</v>
      </c>
    </row>
    <row r="418" spans="1:14" x14ac:dyDescent="0.25">
      <c r="A418" s="6" t="s">
        <v>213</v>
      </c>
      <c r="B418" s="6" t="str">
        <f t="shared" si="6"/>
        <v>TA2551</v>
      </c>
      <c r="C418" s="6" t="s">
        <v>214</v>
      </c>
      <c r="D418" s="6" t="s">
        <v>12</v>
      </c>
      <c r="E418" s="6" t="s">
        <v>13</v>
      </c>
      <c r="F418" s="6" t="s">
        <v>813</v>
      </c>
      <c r="G418" s="6" t="s">
        <v>25</v>
      </c>
      <c r="H418" s="7">
        <v>21.77</v>
      </c>
      <c r="I418" s="6" t="s">
        <v>26</v>
      </c>
      <c r="J418" s="7">
        <v>5.44</v>
      </c>
      <c r="K418" s="6" t="s">
        <v>27</v>
      </c>
      <c r="L418" s="7">
        <v>29.02</v>
      </c>
      <c r="M418" s="6" t="s">
        <v>28</v>
      </c>
      <c r="N418" s="7">
        <v>4.2300000000000004</v>
      </c>
    </row>
    <row r="419" spans="1:14" x14ac:dyDescent="0.25">
      <c r="A419" s="6" t="s">
        <v>650</v>
      </c>
      <c r="B419" s="6" t="str">
        <f t="shared" si="6"/>
        <v>PM1042</v>
      </c>
      <c r="C419" s="6" t="s">
        <v>651</v>
      </c>
      <c r="D419" s="6" t="s">
        <v>12</v>
      </c>
      <c r="E419" s="6" t="s">
        <v>13</v>
      </c>
      <c r="F419" s="6" t="s">
        <v>814</v>
      </c>
      <c r="G419" s="6" t="s">
        <v>229</v>
      </c>
      <c r="H419" s="7">
        <v>11.7</v>
      </c>
      <c r="I419" s="6" t="s">
        <v>52</v>
      </c>
      <c r="J419" s="7">
        <v>17.84</v>
      </c>
      <c r="K419" s="6" t="s">
        <v>53</v>
      </c>
      <c r="L419" s="7">
        <v>21.27</v>
      </c>
      <c r="M419" s="6" t="s">
        <v>231</v>
      </c>
      <c r="N419" s="7">
        <v>1.56</v>
      </c>
    </row>
    <row r="420" spans="1:14" x14ac:dyDescent="0.25">
      <c r="A420" s="6" t="s">
        <v>634</v>
      </c>
      <c r="B420" s="6" t="str">
        <f t="shared" si="6"/>
        <v>PM105A</v>
      </c>
      <c r="C420" s="6" t="s">
        <v>635</v>
      </c>
      <c r="D420" s="6" t="s">
        <v>12</v>
      </c>
      <c r="E420" s="6" t="s">
        <v>13</v>
      </c>
      <c r="F420" s="6" t="s">
        <v>814</v>
      </c>
      <c r="G420" s="6" t="s">
        <v>229</v>
      </c>
      <c r="H420" s="7">
        <v>12.79</v>
      </c>
      <c r="I420" s="6" t="s">
        <v>52</v>
      </c>
      <c r="J420" s="7">
        <v>30.52</v>
      </c>
      <c r="K420" s="6" t="s">
        <v>53</v>
      </c>
      <c r="L420" s="7">
        <v>39.72</v>
      </c>
      <c r="M420" s="6" t="s">
        <v>28</v>
      </c>
      <c r="N420" s="7">
        <v>2.38</v>
      </c>
    </row>
    <row r="421" spans="1:14" x14ac:dyDescent="0.25">
      <c r="A421" s="6" t="s">
        <v>444</v>
      </c>
      <c r="B421" s="6" t="str">
        <f t="shared" si="6"/>
        <v>HN0530</v>
      </c>
      <c r="C421" s="6" t="s">
        <v>285</v>
      </c>
      <c r="D421" s="6" t="s">
        <v>12</v>
      </c>
      <c r="E421" s="6" t="s">
        <v>13</v>
      </c>
      <c r="F421" s="6" t="s">
        <v>813</v>
      </c>
      <c r="G421" s="6" t="s">
        <v>169</v>
      </c>
      <c r="H421" s="7">
        <v>23.34</v>
      </c>
      <c r="I421" s="6" t="s">
        <v>32</v>
      </c>
      <c r="J421" s="7">
        <v>16.84</v>
      </c>
      <c r="K421" s="6" t="s">
        <v>33</v>
      </c>
      <c r="L421" s="7">
        <v>45.96</v>
      </c>
      <c r="M421" s="6" t="s">
        <v>34</v>
      </c>
      <c r="N421" s="7">
        <v>2.02</v>
      </c>
    </row>
    <row r="422" spans="1:14" x14ac:dyDescent="0.25">
      <c r="A422" s="6" t="s">
        <v>610</v>
      </c>
      <c r="B422" s="6" t="str">
        <f t="shared" si="6"/>
        <v>HN0250</v>
      </c>
      <c r="C422" s="6" t="s">
        <v>611</v>
      </c>
      <c r="D422" s="6" t="s">
        <v>12</v>
      </c>
      <c r="E422" s="6" t="s">
        <v>13</v>
      </c>
      <c r="F422" s="6" t="s">
        <v>813</v>
      </c>
      <c r="G422" s="6" t="s">
        <v>169</v>
      </c>
      <c r="H422" s="7">
        <v>9.34</v>
      </c>
      <c r="I422" s="6" t="s">
        <v>32</v>
      </c>
      <c r="J422" s="7">
        <v>6.65</v>
      </c>
      <c r="K422" s="6" t="s">
        <v>33</v>
      </c>
      <c r="L422" s="7">
        <v>18.149999999999999</v>
      </c>
      <c r="M422" s="6" t="s">
        <v>34</v>
      </c>
      <c r="N422" s="7">
        <v>0.81</v>
      </c>
    </row>
    <row r="423" spans="1:14" x14ac:dyDescent="0.25">
      <c r="A423" s="6" t="s">
        <v>598</v>
      </c>
      <c r="B423" s="6" t="str">
        <f t="shared" si="6"/>
        <v>HN0160</v>
      </c>
      <c r="C423" s="6" t="s">
        <v>599</v>
      </c>
      <c r="D423" s="6" t="s">
        <v>12</v>
      </c>
      <c r="E423" s="6" t="s">
        <v>13</v>
      </c>
      <c r="F423" s="6" t="s">
        <v>813</v>
      </c>
      <c r="G423" s="6" t="s">
        <v>169</v>
      </c>
      <c r="H423" s="7">
        <v>23.34</v>
      </c>
      <c r="I423" s="6" t="s">
        <v>32</v>
      </c>
      <c r="J423" s="7">
        <v>16.63</v>
      </c>
      <c r="K423" s="6" t="s">
        <v>33</v>
      </c>
      <c r="L423" s="7">
        <v>45.39</v>
      </c>
      <c r="M423" s="6" t="s">
        <v>34</v>
      </c>
      <c r="N423" s="7">
        <v>2.0099999999999998</v>
      </c>
    </row>
    <row r="424" spans="1:14" x14ac:dyDescent="0.25">
      <c r="A424" s="6" t="s">
        <v>620</v>
      </c>
      <c r="B424" s="6" t="str">
        <f t="shared" si="6"/>
        <v>HN0240</v>
      </c>
      <c r="C424" s="6" t="s">
        <v>621</v>
      </c>
      <c r="D424" s="6" t="s">
        <v>12</v>
      </c>
      <c r="E424" s="6" t="s">
        <v>13</v>
      </c>
      <c r="F424" s="6" t="s">
        <v>813</v>
      </c>
      <c r="G424" s="6" t="s">
        <v>169</v>
      </c>
      <c r="H424" s="7">
        <v>7.15</v>
      </c>
      <c r="I424" s="6" t="s">
        <v>32</v>
      </c>
      <c r="J424" s="7">
        <v>5.09</v>
      </c>
      <c r="K424" s="6" t="s">
        <v>33</v>
      </c>
      <c r="L424" s="7">
        <v>13.9</v>
      </c>
      <c r="M424" s="6" t="s">
        <v>34</v>
      </c>
      <c r="N424" s="7">
        <v>0.62</v>
      </c>
    </row>
    <row r="425" spans="1:14" x14ac:dyDescent="0.25">
      <c r="A425" s="6" t="s">
        <v>555</v>
      </c>
      <c r="B425" s="6" t="str">
        <f t="shared" si="6"/>
        <v>TA0500</v>
      </c>
      <c r="C425" s="6" t="s">
        <v>556</v>
      </c>
      <c r="D425" s="6" t="s">
        <v>12</v>
      </c>
      <c r="E425" s="6" t="s">
        <v>13</v>
      </c>
      <c r="F425" s="6" t="s">
        <v>813</v>
      </c>
      <c r="G425" s="6" t="s">
        <v>169</v>
      </c>
      <c r="H425" s="7">
        <v>23.64</v>
      </c>
      <c r="I425" s="6" t="s">
        <v>32</v>
      </c>
      <c r="J425" s="7">
        <v>16.84</v>
      </c>
      <c r="K425" s="6" t="s">
        <v>33</v>
      </c>
      <c r="L425" s="7">
        <v>45.96</v>
      </c>
      <c r="M425" s="6" t="s">
        <v>34</v>
      </c>
      <c r="N425" s="7">
        <v>2.04</v>
      </c>
    </row>
    <row r="426" spans="1:14" x14ac:dyDescent="0.25">
      <c r="A426" s="6" t="s">
        <v>815</v>
      </c>
      <c r="B426" s="6" t="str">
        <f t="shared" si="6"/>
        <v>TA2980</v>
      </c>
      <c r="C426" s="6" t="s">
        <v>816</v>
      </c>
      <c r="D426" s="6" t="s">
        <v>12</v>
      </c>
      <c r="E426" s="6" t="s">
        <v>13</v>
      </c>
      <c r="F426" s="6" t="s">
        <v>13</v>
      </c>
      <c r="G426" s="6" t="s">
        <v>439</v>
      </c>
      <c r="H426" s="7">
        <v>49.59</v>
      </c>
      <c r="I426" s="6"/>
      <c r="J426" s="6"/>
      <c r="K426" s="6"/>
      <c r="L426" s="6"/>
      <c r="M426" s="6" t="s">
        <v>34</v>
      </c>
      <c r="N426" s="7">
        <v>2.85</v>
      </c>
    </row>
    <row r="427" spans="1:14" x14ac:dyDescent="0.25">
      <c r="A427" s="6" t="s">
        <v>817</v>
      </c>
      <c r="B427" s="6" t="str">
        <f t="shared" si="6"/>
        <v>NA3220</v>
      </c>
      <c r="C427" s="6" t="s">
        <v>818</v>
      </c>
      <c r="D427" s="6" t="s">
        <v>12</v>
      </c>
      <c r="E427" s="6" t="s">
        <v>13</v>
      </c>
      <c r="F427" s="6" t="s">
        <v>13</v>
      </c>
      <c r="G427" s="6" t="s">
        <v>130</v>
      </c>
      <c r="H427" s="7">
        <v>102.4</v>
      </c>
      <c r="I427" s="6"/>
      <c r="J427" s="6"/>
      <c r="K427" s="6"/>
      <c r="L427" s="6"/>
      <c r="M427" s="6"/>
      <c r="N427" s="6"/>
    </row>
    <row r="428" spans="1:14" x14ac:dyDescent="0.25">
      <c r="A428" s="6" t="s">
        <v>819</v>
      </c>
      <c r="B428" s="6" t="str">
        <f t="shared" si="6"/>
        <v>NA3230</v>
      </c>
      <c r="C428" s="6" t="s">
        <v>820</v>
      </c>
      <c r="D428" s="6" t="s">
        <v>12</v>
      </c>
      <c r="E428" s="6" t="s">
        <v>13</v>
      </c>
      <c r="F428" s="6" t="s">
        <v>13</v>
      </c>
      <c r="G428" s="6" t="s">
        <v>130</v>
      </c>
      <c r="H428" s="7">
        <v>84.46</v>
      </c>
      <c r="I428" s="6"/>
      <c r="J428" s="6"/>
      <c r="K428" s="6"/>
      <c r="L428" s="6"/>
      <c r="M428" s="6"/>
      <c r="N428" s="6"/>
    </row>
    <row r="429" spans="1:14" x14ac:dyDescent="0.25">
      <c r="A429" s="6" t="s">
        <v>821</v>
      </c>
      <c r="B429" s="6" t="str">
        <f t="shared" si="6"/>
        <v>NA3240</v>
      </c>
      <c r="C429" s="6" t="s">
        <v>822</v>
      </c>
      <c r="D429" s="6" t="s">
        <v>12</v>
      </c>
      <c r="E429" s="6" t="s">
        <v>13</v>
      </c>
      <c r="F429" s="6" t="s">
        <v>13</v>
      </c>
      <c r="G429" s="6" t="s">
        <v>130</v>
      </c>
      <c r="H429" s="7">
        <v>92.81</v>
      </c>
      <c r="I429" s="6"/>
      <c r="J429" s="6"/>
      <c r="K429" s="6"/>
      <c r="L429" s="6"/>
      <c r="M429" s="6"/>
      <c r="N429" s="6"/>
    </row>
    <row r="430" spans="1:14" x14ac:dyDescent="0.25">
      <c r="A430" s="6" t="s">
        <v>823</v>
      </c>
      <c r="B430" s="6" t="str">
        <f t="shared" si="6"/>
        <v>NA3250</v>
      </c>
      <c r="C430" s="6" t="s">
        <v>824</v>
      </c>
      <c r="D430" s="6" t="s">
        <v>12</v>
      </c>
      <c r="E430" s="6" t="s">
        <v>13</v>
      </c>
      <c r="F430" s="6" t="s">
        <v>13</v>
      </c>
      <c r="G430" s="6" t="s">
        <v>130</v>
      </c>
      <c r="H430" s="7">
        <v>92.81</v>
      </c>
      <c r="I430" s="6"/>
      <c r="J430" s="6"/>
      <c r="K430" s="6"/>
      <c r="L430" s="6"/>
      <c r="M430" s="6"/>
      <c r="N430" s="6"/>
    </row>
    <row r="431" spans="1:14" x14ac:dyDescent="0.25">
      <c r="A431" s="6" t="s">
        <v>825</v>
      </c>
      <c r="B431" s="6" t="str">
        <f t="shared" si="6"/>
        <v>NA3260</v>
      </c>
      <c r="C431" s="6" t="s">
        <v>826</v>
      </c>
      <c r="D431" s="6" t="s">
        <v>12</v>
      </c>
      <c r="E431" s="6" t="s">
        <v>13</v>
      </c>
      <c r="F431" s="6" t="s">
        <v>13</v>
      </c>
      <c r="G431" s="6" t="s">
        <v>130</v>
      </c>
      <c r="H431" s="7">
        <v>42.35</v>
      </c>
      <c r="I431" s="6"/>
      <c r="J431" s="6"/>
      <c r="K431" s="6"/>
      <c r="L431" s="6"/>
      <c r="M431" s="6"/>
      <c r="N431" s="6"/>
    </row>
    <row r="432" spans="1:14" x14ac:dyDescent="0.25">
      <c r="A432" s="6" t="s">
        <v>827</v>
      </c>
      <c r="B432" s="6" t="str">
        <f t="shared" si="6"/>
        <v>NA3270</v>
      </c>
      <c r="C432" s="6" t="s">
        <v>828</v>
      </c>
      <c r="D432" s="6" t="s">
        <v>12</v>
      </c>
      <c r="E432" s="6" t="s">
        <v>13</v>
      </c>
      <c r="F432" s="6" t="s">
        <v>13</v>
      </c>
      <c r="G432" s="6" t="s">
        <v>219</v>
      </c>
      <c r="H432" s="7">
        <v>15.05</v>
      </c>
      <c r="I432" s="6" t="s">
        <v>44</v>
      </c>
      <c r="J432" s="7">
        <v>3.55</v>
      </c>
      <c r="K432" s="6"/>
      <c r="L432" s="6"/>
      <c r="M432" s="6"/>
      <c r="N432" s="6"/>
    </row>
    <row r="433" spans="1:14" x14ac:dyDescent="0.25">
      <c r="A433" s="6" t="s">
        <v>829</v>
      </c>
      <c r="B433" s="6" t="str">
        <f t="shared" si="6"/>
        <v>NA3311</v>
      </c>
      <c r="C433" s="6" t="s">
        <v>830</v>
      </c>
      <c r="D433" s="6" t="s">
        <v>12</v>
      </c>
      <c r="E433" s="6" t="s">
        <v>13</v>
      </c>
      <c r="F433" s="6" t="s">
        <v>13</v>
      </c>
      <c r="G433" s="6" t="s">
        <v>219</v>
      </c>
      <c r="H433" s="7">
        <v>7.92</v>
      </c>
      <c r="I433" s="6" t="s">
        <v>44</v>
      </c>
      <c r="J433" s="7">
        <v>1.87</v>
      </c>
      <c r="K433" s="6"/>
      <c r="L433" s="6"/>
      <c r="M433" s="6"/>
      <c r="N433" s="6"/>
    </row>
    <row r="434" spans="1:14" x14ac:dyDescent="0.25">
      <c r="A434" s="6" t="s">
        <v>831</v>
      </c>
      <c r="B434" s="6" t="str">
        <f t="shared" si="6"/>
        <v>NA3280</v>
      </c>
      <c r="C434" s="6" t="s">
        <v>832</v>
      </c>
      <c r="D434" s="6" t="s">
        <v>12</v>
      </c>
      <c r="E434" s="6" t="s">
        <v>13</v>
      </c>
      <c r="F434" s="6" t="s">
        <v>13</v>
      </c>
      <c r="G434" s="6" t="s">
        <v>96</v>
      </c>
      <c r="H434" s="7">
        <v>193.76</v>
      </c>
      <c r="I434" s="6"/>
      <c r="J434" s="6"/>
      <c r="K434" s="6"/>
      <c r="L434" s="6"/>
      <c r="M434" s="6" t="s">
        <v>89</v>
      </c>
      <c r="N434" s="7">
        <v>5.42</v>
      </c>
    </row>
    <row r="435" spans="1:14" x14ac:dyDescent="0.25">
      <c r="A435" s="6" t="s">
        <v>833</v>
      </c>
      <c r="B435" s="6" t="str">
        <f t="shared" si="6"/>
        <v>TA3030</v>
      </c>
      <c r="C435" s="6" t="s">
        <v>834</v>
      </c>
      <c r="D435" s="6" t="s">
        <v>12</v>
      </c>
      <c r="E435" s="6" t="s">
        <v>13</v>
      </c>
      <c r="F435" s="6" t="s">
        <v>13</v>
      </c>
      <c r="G435" s="6" t="s">
        <v>85</v>
      </c>
      <c r="H435" s="7">
        <v>123.89</v>
      </c>
      <c r="I435" s="6" t="s">
        <v>44</v>
      </c>
      <c r="J435" s="7">
        <v>29.85</v>
      </c>
      <c r="K435" s="6"/>
      <c r="L435" s="6"/>
      <c r="M435" s="6"/>
      <c r="N435" s="6"/>
    </row>
    <row r="436" spans="1:14" x14ac:dyDescent="0.25">
      <c r="A436" s="6" t="s">
        <v>835</v>
      </c>
      <c r="B436" s="6" t="str">
        <f t="shared" si="6"/>
        <v>NA3312</v>
      </c>
      <c r="C436" s="6" t="s">
        <v>836</v>
      </c>
      <c r="D436" s="6" t="s">
        <v>12</v>
      </c>
      <c r="E436" s="6" t="s">
        <v>13</v>
      </c>
      <c r="F436" s="6" t="s">
        <v>13</v>
      </c>
      <c r="G436" s="6" t="s">
        <v>219</v>
      </c>
      <c r="H436" s="7">
        <v>11.66</v>
      </c>
      <c r="I436" s="6" t="s">
        <v>44</v>
      </c>
      <c r="J436" s="7">
        <v>2.75</v>
      </c>
      <c r="K436" s="6"/>
      <c r="L436" s="6"/>
      <c r="M436" s="6"/>
      <c r="N436" s="6"/>
    </row>
    <row r="437" spans="1:14" x14ac:dyDescent="0.25">
      <c r="A437" s="6" t="s">
        <v>837</v>
      </c>
      <c r="B437" s="6" t="str">
        <f t="shared" si="6"/>
        <v>TA3040</v>
      </c>
      <c r="C437" s="6" t="s">
        <v>838</v>
      </c>
      <c r="D437" s="6" t="s">
        <v>12</v>
      </c>
      <c r="E437" s="6" t="s">
        <v>13</v>
      </c>
      <c r="F437" s="6" t="s">
        <v>13</v>
      </c>
      <c r="G437" s="6" t="s">
        <v>85</v>
      </c>
      <c r="H437" s="7">
        <v>81.790000000000006</v>
      </c>
      <c r="I437" s="6" t="s">
        <v>44</v>
      </c>
      <c r="J437" s="7">
        <v>20.63</v>
      </c>
      <c r="K437" s="6"/>
      <c r="L437" s="6"/>
      <c r="M437" s="6"/>
      <c r="N437" s="6"/>
    </row>
    <row r="438" spans="1:14" x14ac:dyDescent="0.25">
      <c r="A438" s="6" t="s">
        <v>839</v>
      </c>
      <c r="B438" s="6" t="str">
        <f t="shared" si="6"/>
        <v>TA3060</v>
      </c>
      <c r="C438" s="6" t="s">
        <v>840</v>
      </c>
      <c r="D438" s="6" t="s">
        <v>12</v>
      </c>
      <c r="E438" s="6" t="s">
        <v>13</v>
      </c>
      <c r="F438" s="6" t="s">
        <v>13</v>
      </c>
      <c r="G438" s="6" t="s">
        <v>96</v>
      </c>
      <c r="H438" s="7">
        <v>279.63</v>
      </c>
      <c r="I438" s="6"/>
      <c r="J438" s="6"/>
      <c r="K438" s="6"/>
      <c r="L438" s="6"/>
      <c r="M438" s="6" t="s">
        <v>97</v>
      </c>
      <c r="N438" s="7">
        <v>5.57</v>
      </c>
    </row>
    <row r="439" spans="1:14" x14ac:dyDescent="0.25">
      <c r="A439" s="6" t="s">
        <v>841</v>
      </c>
      <c r="B439" s="6" t="str">
        <f t="shared" si="6"/>
        <v>TA3050</v>
      </c>
      <c r="C439" s="6" t="s">
        <v>842</v>
      </c>
      <c r="D439" s="6" t="s">
        <v>12</v>
      </c>
      <c r="E439" s="6" t="s">
        <v>13</v>
      </c>
      <c r="F439" s="6" t="s">
        <v>13</v>
      </c>
      <c r="G439" s="6" t="s">
        <v>96</v>
      </c>
      <c r="H439" s="7">
        <v>250.36</v>
      </c>
      <c r="I439" s="6"/>
      <c r="J439" s="6"/>
      <c r="K439" s="6"/>
      <c r="L439" s="6"/>
      <c r="M439" s="6" t="s">
        <v>97</v>
      </c>
      <c r="N439" s="7">
        <v>4.9800000000000004</v>
      </c>
    </row>
    <row r="440" spans="1:14" x14ac:dyDescent="0.25">
      <c r="A440" s="6" t="s">
        <v>843</v>
      </c>
      <c r="B440" s="6" t="str">
        <f t="shared" si="6"/>
        <v>NA3301</v>
      </c>
      <c r="C440" s="6" t="s">
        <v>844</v>
      </c>
      <c r="D440" s="6" t="s">
        <v>12</v>
      </c>
      <c r="E440" s="6" t="s">
        <v>13</v>
      </c>
      <c r="F440" s="6" t="s">
        <v>13</v>
      </c>
      <c r="G440" s="6" t="s">
        <v>96</v>
      </c>
      <c r="H440" s="7">
        <v>180.54</v>
      </c>
      <c r="I440" s="6"/>
      <c r="J440" s="6"/>
      <c r="K440" s="6"/>
      <c r="L440" s="6"/>
      <c r="M440" s="6" t="s">
        <v>89</v>
      </c>
      <c r="N440" s="7">
        <v>5.05</v>
      </c>
    </row>
    <row r="441" spans="1:14" x14ac:dyDescent="0.25">
      <c r="A441" s="6" t="s">
        <v>845</v>
      </c>
      <c r="B441" s="6" t="str">
        <f t="shared" si="6"/>
        <v>NA3291</v>
      </c>
      <c r="C441" s="6" t="s">
        <v>846</v>
      </c>
      <c r="D441" s="6" t="s">
        <v>12</v>
      </c>
      <c r="E441" s="6" t="s">
        <v>13</v>
      </c>
      <c r="F441" s="6" t="s">
        <v>13</v>
      </c>
      <c r="G441" s="6" t="s">
        <v>96</v>
      </c>
      <c r="H441" s="7">
        <v>81.83</v>
      </c>
      <c r="I441" s="6"/>
      <c r="J441" s="6"/>
      <c r="K441" s="6"/>
      <c r="L441" s="6"/>
      <c r="M441" s="6" t="s">
        <v>89</v>
      </c>
      <c r="N441" s="7">
        <v>2.29</v>
      </c>
    </row>
    <row r="442" spans="1:14" x14ac:dyDescent="0.25">
      <c r="A442" s="6" t="s">
        <v>847</v>
      </c>
      <c r="B442" s="6" t="str">
        <f t="shared" si="6"/>
        <v>NA3292</v>
      </c>
      <c r="C442" s="6" t="s">
        <v>848</v>
      </c>
      <c r="D442" s="6" t="s">
        <v>12</v>
      </c>
      <c r="E442" s="6" t="s">
        <v>13</v>
      </c>
      <c r="F442" s="6" t="s">
        <v>13</v>
      </c>
      <c r="G442" s="6" t="s">
        <v>96</v>
      </c>
      <c r="H442" s="7">
        <v>192.31</v>
      </c>
      <c r="I442" s="6"/>
      <c r="J442" s="6"/>
      <c r="K442" s="6"/>
      <c r="L442" s="6"/>
      <c r="M442" s="6" t="s">
        <v>89</v>
      </c>
      <c r="N442" s="7">
        <v>5.38</v>
      </c>
    </row>
    <row r="443" spans="1:14" x14ac:dyDescent="0.25">
      <c r="A443" s="6" t="s">
        <v>849</v>
      </c>
      <c r="B443" s="6" t="str">
        <f t="shared" si="6"/>
        <v>HY0050</v>
      </c>
      <c r="C443" s="6" t="s">
        <v>850</v>
      </c>
      <c r="D443" s="6" t="s">
        <v>12</v>
      </c>
      <c r="E443" s="6" t="s">
        <v>13</v>
      </c>
      <c r="F443" s="6" t="s">
        <v>13</v>
      </c>
      <c r="G443" s="6" t="s">
        <v>851</v>
      </c>
      <c r="H443" s="7">
        <v>114.36</v>
      </c>
      <c r="I443" s="6"/>
      <c r="J443" s="6"/>
      <c r="K443" s="6"/>
      <c r="L443" s="6"/>
      <c r="M443" s="6"/>
      <c r="N443" s="6"/>
    </row>
    <row r="444" spans="1:14" x14ac:dyDescent="0.25">
      <c r="A444" s="6" t="s">
        <v>852</v>
      </c>
      <c r="B444" s="6" t="str">
        <f t="shared" si="6"/>
        <v>NA3330</v>
      </c>
      <c r="C444" s="6" t="s">
        <v>853</v>
      </c>
      <c r="D444" s="6" t="s">
        <v>12</v>
      </c>
      <c r="E444" s="6" t="s">
        <v>13</v>
      </c>
      <c r="F444" s="6" t="s">
        <v>13</v>
      </c>
      <c r="G444" s="6" t="s">
        <v>96</v>
      </c>
      <c r="H444" s="7">
        <v>17.54</v>
      </c>
      <c r="I444" s="6"/>
      <c r="J444" s="6"/>
      <c r="K444" s="6"/>
      <c r="L444" s="6"/>
      <c r="M444" s="6" t="s">
        <v>344</v>
      </c>
      <c r="N444" s="7">
        <v>0.4</v>
      </c>
    </row>
    <row r="445" spans="1:14" x14ac:dyDescent="0.25">
      <c r="A445" s="6" t="s">
        <v>854</v>
      </c>
      <c r="B445" s="6" t="str">
        <f t="shared" si="6"/>
        <v>NA3320</v>
      </c>
      <c r="C445" s="6" t="s">
        <v>855</v>
      </c>
      <c r="D445" s="6" t="s">
        <v>12</v>
      </c>
      <c r="E445" s="6" t="s">
        <v>13</v>
      </c>
      <c r="F445" s="6" t="s">
        <v>13</v>
      </c>
      <c r="G445" s="6" t="s">
        <v>96</v>
      </c>
      <c r="H445" s="7">
        <v>83.42</v>
      </c>
      <c r="I445" s="6"/>
      <c r="J445" s="6"/>
      <c r="K445" s="6"/>
      <c r="L445" s="6"/>
      <c r="M445" s="6" t="s">
        <v>89</v>
      </c>
      <c r="N445" s="7">
        <v>2.94</v>
      </c>
    </row>
    <row r="446" spans="1:14" x14ac:dyDescent="0.25">
      <c r="A446" s="6" t="s">
        <v>856</v>
      </c>
      <c r="B446" s="6" t="str">
        <f t="shared" si="6"/>
        <v>PM1440</v>
      </c>
      <c r="C446" s="6" t="s">
        <v>857</v>
      </c>
      <c r="D446" s="6" t="s">
        <v>12</v>
      </c>
      <c r="E446" s="6" t="s">
        <v>13</v>
      </c>
      <c r="F446" s="6" t="s">
        <v>13</v>
      </c>
      <c r="G446" s="6" t="s">
        <v>229</v>
      </c>
      <c r="H446" s="7">
        <v>107.82</v>
      </c>
      <c r="I446" s="6" t="s">
        <v>230</v>
      </c>
      <c r="J446" s="7">
        <v>188.22</v>
      </c>
      <c r="K446" s="6"/>
      <c r="L446" s="6"/>
      <c r="M446" s="6" t="s">
        <v>231</v>
      </c>
      <c r="N446" s="7">
        <v>15.89</v>
      </c>
    </row>
    <row r="447" spans="1:14" x14ac:dyDescent="0.25">
      <c r="A447" s="6" t="s">
        <v>858</v>
      </c>
      <c r="B447" s="6" t="str">
        <f t="shared" si="6"/>
        <v>PM1450</v>
      </c>
      <c r="C447" s="6" t="s">
        <v>859</v>
      </c>
      <c r="D447" s="6" t="s">
        <v>12</v>
      </c>
      <c r="E447" s="6" t="s">
        <v>13</v>
      </c>
      <c r="F447" s="6" t="s">
        <v>13</v>
      </c>
      <c r="G447" s="6" t="s">
        <v>229</v>
      </c>
      <c r="H447" s="7">
        <v>173.64</v>
      </c>
      <c r="I447" s="6" t="s">
        <v>230</v>
      </c>
      <c r="J447" s="7">
        <v>295.35000000000002</v>
      </c>
      <c r="K447" s="6"/>
      <c r="L447" s="6"/>
      <c r="M447" s="6" t="s">
        <v>28</v>
      </c>
      <c r="N447" s="7">
        <v>14.43</v>
      </c>
    </row>
    <row r="448" spans="1:14" x14ac:dyDescent="0.25">
      <c r="A448" s="6" t="s">
        <v>860</v>
      </c>
      <c r="B448" s="6" t="str">
        <f t="shared" si="6"/>
        <v>NA3340</v>
      </c>
      <c r="C448" s="6" t="s">
        <v>861</v>
      </c>
      <c r="D448" s="6" t="s">
        <v>12</v>
      </c>
      <c r="E448" s="6" t="s">
        <v>13</v>
      </c>
      <c r="F448" s="6" t="s">
        <v>13</v>
      </c>
      <c r="G448" s="6" t="s">
        <v>439</v>
      </c>
      <c r="H448" s="7">
        <v>80.08</v>
      </c>
      <c r="I448" s="6"/>
      <c r="J448" s="6"/>
      <c r="K448" s="6"/>
      <c r="L448" s="6"/>
      <c r="M448" s="6" t="s">
        <v>862</v>
      </c>
      <c r="N448" s="7">
        <v>1.27</v>
      </c>
    </row>
    <row r="449" spans="1:14" x14ac:dyDescent="0.25">
      <c r="A449" s="6" t="s">
        <v>863</v>
      </c>
      <c r="B449" s="6" t="str">
        <f t="shared" si="6"/>
        <v>PM1460</v>
      </c>
      <c r="C449" s="6" t="s">
        <v>864</v>
      </c>
      <c r="D449" s="6" t="s">
        <v>12</v>
      </c>
      <c r="E449" s="6" t="s">
        <v>13</v>
      </c>
      <c r="F449" s="6" t="s">
        <v>13</v>
      </c>
      <c r="G449" s="6" t="s">
        <v>88</v>
      </c>
      <c r="H449" s="7">
        <v>70.540000000000006</v>
      </c>
      <c r="I449" s="6"/>
      <c r="J449" s="6"/>
      <c r="K449" s="6"/>
      <c r="L449" s="6"/>
      <c r="M449" s="6"/>
      <c r="N449" s="6"/>
    </row>
    <row r="450" spans="1:14" x14ac:dyDescent="0.25">
      <c r="A450" s="6" t="s">
        <v>865</v>
      </c>
      <c r="B450" s="6" t="str">
        <f t="shared" ref="B450:B457" si="7">MID(A450,8,6)</f>
        <v>PM1490</v>
      </c>
      <c r="C450" s="6" t="s">
        <v>866</v>
      </c>
      <c r="D450" s="6" t="s">
        <v>12</v>
      </c>
      <c r="E450" s="6" t="s">
        <v>13</v>
      </c>
      <c r="F450" s="6" t="s">
        <v>13</v>
      </c>
      <c r="G450" s="6" t="s">
        <v>229</v>
      </c>
      <c r="H450" s="7">
        <v>53.41</v>
      </c>
      <c r="I450" s="6" t="s">
        <v>230</v>
      </c>
      <c r="J450" s="7">
        <v>125.29</v>
      </c>
      <c r="K450" s="6"/>
      <c r="L450" s="6"/>
      <c r="M450" s="6" t="s">
        <v>28</v>
      </c>
      <c r="N450" s="7">
        <v>5.62</v>
      </c>
    </row>
    <row r="451" spans="1:14" x14ac:dyDescent="0.25">
      <c r="A451" s="6" t="s">
        <v>867</v>
      </c>
      <c r="B451" s="6" t="str">
        <f t="shared" si="7"/>
        <v>PM1480</v>
      </c>
      <c r="C451" s="6" t="s">
        <v>868</v>
      </c>
      <c r="D451" s="6" t="s">
        <v>12</v>
      </c>
      <c r="E451" s="6" t="s">
        <v>13</v>
      </c>
      <c r="F451" s="6" t="s">
        <v>13</v>
      </c>
      <c r="G451" s="6" t="s">
        <v>229</v>
      </c>
      <c r="H451" s="7">
        <v>52.07</v>
      </c>
      <c r="I451" s="6" t="s">
        <v>230</v>
      </c>
      <c r="J451" s="7">
        <v>122.13</v>
      </c>
      <c r="K451" s="6"/>
      <c r="L451" s="6"/>
      <c r="M451" s="6" t="s">
        <v>28</v>
      </c>
      <c r="N451" s="7">
        <v>6.63</v>
      </c>
    </row>
    <row r="452" spans="1:14" x14ac:dyDescent="0.25">
      <c r="A452" s="6" t="s">
        <v>869</v>
      </c>
      <c r="B452" s="6" t="str">
        <f t="shared" si="7"/>
        <v>PM1470</v>
      </c>
      <c r="C452" s="6" t="s">
        <v>870</v>
      </c>
      <c r="D452" s="6" t="s">
        <v>12</v>
      </c>
      <c r="E452" s="6" t="s">
        <v>13</v>
      </c>
      <c r="F452" s="6" t="s">
        <v>13</v>
      </c>
      <c r="G452" s="6" t="s">
        <v>229</v>
      </c>
      <c r="H452" s="7">
        <v>26.42</v>
      </c>
      <c r="I452" s="6" t="s">
        <v>230</v>
      </c>
      <c r="J452" s="7">
        <v>61.98</v>
      </c>
      <c r="K452" s="6"/>
      <c r="L452" s="6"/>
      <c r="M452" s="6" t="s">
        <v>28</v>
      </c>
      <c r="N452" s="7">
        <v>2.98</v>
      </c>
    </row>
    <row r="453" spans="1:14" x14ac:dyDescent="0.25">
      <c r="A453" s="6" t="s">
        <v>871</v>
      </c>
      <c r="B453" s="6" t="str">
        <f t="shared" si="7"/>
        <v>HY0070</v>
      </c>
      <c r="C453" s="6" t="s">
        <v>872</v>
      </c>
      <c r="D453" s="6" t="s">
        <v>12</v>
      </c>
      <c r="E453" s="6" t="s">
        <v>13</v>
      </c>
      <c r="F453" s="6" t="s">
        <v>13</v>
      </c>
      <c r="G453" s="6" t="s">
        <v>851</v>
      </c>
      <c r="H453" s="7">
        <v>118.47</v>
      </c>
      <c r="I453" s="6"/>
      <c r="J453" s="6"/>
      <c r="K453" s="6"/>
      <c r="L453" s="6"/>
      <c r="M453" s="6"/>
      <c r="N453" s="6"/>
    </row>
    <row r="454" spans="1:14" x14ac:dyDescent="0.25">
      <c r="A454" s="6" t="s">
        <v>873</v>
      </c>
      <c r="B454" s="6" t="str">
        <f t="shared" si="7"/>
        <v>TA3070</v>
      </c>
      <c r="C454" s="6" t="s">
        <v>874</v>
      </c>
      <c r="D454" s="6" t="s">
        <v>12</v>
      </c>
      <c r="E454" s="6" t="s">
        <v>13</v>
      </c>
      <c r="F454" s="6" t="s">
        <v>13</v>
      </c>
      <c r="G454" s="6" t="s">
        <v>85</v>
      </c>
      <c r="H454" s="7">
        <v>126.7</v>
      </c>
      <c r="I454" s="6" t="s">
        <v>44</v>
      </c>
      <c r="J454" s="7">
        <v>72.16</v>
      </c>
      <c r="K454" s="6"/>
      <c r="L454" s="6"/>
      <c r="M454" s="6"/>
      <c r="N454" s="6"/>
    </row>
    <row r="455" spans="1:14" x14ac:dyDescent="0.25">
      <c r="A455" s="6" t="s">
        <v>875</v>
      </c>
      <c r="B455" s="6" t="str">
        <f t="shared" si="7"/>
        <v>TA0340</v>
      </c>
      <c r="C455" s="6" t="s">
        <v>876</v>
      </c>
      <c r="D455" s="6" t="s">
        <v>12</v>
      </c>
      <c r="E455" s="6" t="s">
        <v>13</v>
      </c>
      <c r="F455" s="6" t="s">
        <v>13</v>
      </c>
      <c r="G455" s="6" t="s">
        <v>31</v>
      </c>
      <c r="H455" s="7">
        <v>13.13</v>
      </c>
      <c r="I455" s="6" t="s">
        <v>32</v>
      </c>
      <c r="J455" s="7">
        <v>10.74</v>
      </c>
      <c r="K455" s="6" t="s">
        <v>33</v>
      </c>
      <c r="L455" s="7">
        <v>29.3</v>
      </c>
      <c r="M455" s="6" t="s">
        <v>34</v>
      </c>
      <c r="N455" s="7">
        <v>1.3</v>
      </c>
    </row>
    <row r="456" spans="1:14" x14ac:dyDescent="0.25">
      <c r="A456" s="6" t="s">
        <v>877</v>
      </c>
      <c r="B456" s="6" t="str">
        <f t="shared" si="7"/>
        <v>NA3370</v>
      </c>
      <c r="C456" s="6" t="s">
        <v>878</v>
      </c>
      <c r="D456" s="6" t="s">
        <v>12</v>
      </c>
      <c r="E456" s="6" t="s">
        <v>13</v>
      </c>
      <c r="F456" s="6" t="s">
        <v>13</v>
      </c>
      <c r="G456" s="6" t="s">
        <v>96</v>
      </c>
      <c r="H456" s="7">
        <v>46.94</v>
      </c>
      <c r="I456" s="6"/>
      <c r="J456" s="6"/>
      <c r="K456" s="6"/>
      <c r="L456" s="6"/>
      <c r="M456" s="6" t="s">
        <v>89</v>
      </c>
      <c r="N456" s="7">
        <v>1.31</v>
      </c>
    </row>
    <row r="457" spans="1:14" x14ac:dyDescent="0.25">
      <c r="A457" s="6" t="s">
        <v>879</v>
      </c>
      <c r="B457" s="6" t="str">
        <f t="shared" si="7"/>
        <v>PM1500</v>
      </c>
      <c r="C457" s="6" t="s">
        <v>880</v>
      </c>
      <c r="D457" s="6" t="s">
        <v>12</v>
      </c>
      <c r="E457" s="6" t="s">
        <v>13</v>
      </c>
      <c r="F457" s="6" t="s">
        <v>13</v>
      </c>
      <c r="G457" s="6" t="s">
        <v>229</v>
      </c>
      <c r="H457" s="7">
        <v>33.869999999999997</v>
      </c>
      <c r="I457" s="6" t="s">
        <v>230</v>
      </c>
      <c r="J457" s="7">
        <v>64.709999999999994</v>
      </c>
      <c r="K457" s="6"/>
      <c r="L457" s="6"/>
      <c r="M457" s="6" t="s">
        <v>28</v>
      </c>
      <c r="N457" s="7">
        <v>2.46</v>
      </c>
    </row>
  </sheetData>
  <autoFilter ref="A1:P126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7CAF-8B77-4AD0-9300-639FB445018E}">
  <sheetPr filterMode="1"/>
  <dimension ref="A2:B365"/>
  <sheetViews>
    <sheetView workbookViewId="0">
      <selection activeCell="A2" sqref="A2:A163"/>
    </sheetView>
  </sheetViews>
  <sheetFormatPr defaultRowHeight="13.2" x14ac:dyDescent="0.25"/>
  <cols>
    <col min="1" max="1" width="10.77734375" style="19" customWidth="1"/>
    <col min="2" max="2" width="16.77734375" bestFit="1" customWidth="1"/>
  </cols>
  <sheetData>
    <row r="2" spans="1:2" x14ac:dyDescent="0.25">
      <c r="A2" s="13" t="s">
        <v>1009</v>
      </c>
      <c r="B2">
        <f>VLOOKUP(A2,[4]Sheet1!$A$2:$B$356,2,0)</f>
        <v>0</v>
      </c>
    </row>
    <row r="3" spans="1:2" hidden="1" x14ac:dyDescent="0.25">
      <c r="A3" s="13" t="s">
        <v>1102</v>
      </c>
      <c r="B3" t="str">
        <f>VLOOKUP(A3,[4]Sheet1!$A$2:$B$356,2,0)</f>
        <v>23273-0W020</v>
      </c>
    </row>
    <row r="4" spans="1:2" hidden="1" x14ac:dyDescent="0.25">
      <c r="A4" s="13" t="s">
        <v>1107</v>
      </c>
      <c r="B4" t="str">
        <f>VLOOKUP(A4,[4]Sheet1!$A$2:$B$356,2,0)</f>
        <v>44776-0W020</v>
      </c>
    </row>
    <row r="5" spans="1:2" hidden="1" x14ac:dyDescent="0.25">
      <c r="A5" s="13" t="s">
        <v>1107</v>
      </c>
      <c r="B5" t="str">
        <f>VLOOKUP(A5,[4]Sheet1!$A$2:$B$356,2,0)</f>
        <v>44776-0W020</v>
      </c>
    </row>
    <row r="6" spans="1:2" hidden="1" x14ac:dyDescent="0.25">
      <c r="A6" s="13" t="s">
        <v>1099</v>
      </c>
      <c r="B6" t="str">
        <f>VLOOKUP(A6,[4]Sheet1!$A$2:$B$356,2,0)</f>
        <v>44776-0W030</v>
      </c>
    </row>
    <row r="7" spans="1:2" hidden="1" x14ac:dyDescent="0.25">
      <c r="A7" s="13" t="s">
        <v>1099</v>
      </c>
      <c r="B7" t="str">
        <f>VLOOKUP(A7,[4]Sheet1!$A$2:$B$356,2,0)</f>
        <v>44776-0W030</v>
      </c>
    </row>
    <row r="8" spans="1:2" hidden="1" x14ac:dyDescent="0.25">
      <c r="A8" s="13" t="s">
        <v>1103</v>
      </c>
      <c r="B8" t="str">
        <f>VLOOKUP(A8,[4]Sheet1!$A$2:$B$356,2,0)</f>
        <v>44778-0W030</v>
      </c>
    </row>
    <row r="9" spans="1:2" hidden="1" x14ac:dyDescent="0.25">
      <c r="A9" s="13" t="s">
        <v>1103</v>
      </c>
      <c r="B9" t="str">
        <f>VLOOKUP(A9,[4]Sheet1!$A$2:$B$356,2,0)</f>
        <v>44778-0W030</v>
      </c>
    </row>
    <row r="10" spans="1:2" hidden="1" x14ac:dyDescent="0.25">
      <c r="A10" s="13" t="s">
        <v>1122</v>
      </c>
      <c r="B10" t="str">
        <f>VLOOKUP(A10,[4]Sheet1!$A$2:$B$356,2,0)</f>
        <v>77259-0W030</v>
      </c>
    </row>
    <row r="11" spans="1:2" hidden="1" x14ac:dyDescent="0.25">
      <c r="A11" s="13" t="s">
        <v>1126</v>
      </c>
      <c r="B11" t="str">
        <f>VLOOKUP(A11,[4]Sheet1!$A$2:$B$356,2,0)</f>
        <v>77259-0W040</v>
      </c>
    </row>
    <row r="12" spans="1:2" hidden="1" x14ac:dyDescent="0.25">
      <c r="A12" s="13" t="s">
        <v>1125</v>
      </c>
      <c r="B12" t="str">
        <f>VLOOKUP(A12,[4]Sheet1!$A$2:$B$356,2,0)</f>
        <v>77259-0W050</v>
      </c>
    </row>
    <row r="13" spans="1:2" hidden="1" x14ac:dyDescent="0.25">
      <c r="A13" s="13" t="s">
        <v>1127</v>
      </c>
      <c r="B13" t="str">
        <f>VLOOKUP(A13,[4]Sheet1!$A$2:$B$356,2,0)</f>
        <v>77259-0W060</v>
      </c>
    </row>
    <row r="14" spans="1:2" hidden="1" x14ac:dyDescent="0.25">
      <c r="A14" s="13" t="s">
        <v>1118</v>
      </c>
      <c r="B14" t="str">
        <f>VLOOKUP(A14,[4]Sheet1!$A$2:$B$356,2,0)</f>
        <v>77279-0W020</v>
      </c>
    </row>
    <row r="15" spans="1:2" hidden="1" x14ac:dyDescent="0.25">
      <c r="A15" s="13" t="s">
        <v>1119</v>
      </c>
      <c r="B15" t="str">
        <f>VLOOKUP(A15,[4]Sheet1!$A$2:$B$356,2,0)</f>
        <v>77279-0W030</v>
      </c>
    </row>
    <row r="16" spans="1:2" hidden="1" x14ac:dyDescent="0.25">
      <c r="A16" s="13" t="s">
        <v>1108</v>
      </c>
      <c r="B16" t="str">
        <f>VLOOKUP(A16,[4]Sheet1!$A$2:$B$356,2,0)</f>
        <v>44773-0W030</v>
      </c>
    </row>
    <row r="17" spans="1:2" hidden="1" x14ac:dyDescent="0.25">
      <c r="A17" s="13" t="s">
        <v>1108</v>
      </c>
      <c r="B17" t="str">
        <f>VLOOKUP(A17,[4]Sheet1!$A$2:$B$356,2,0)</f>
        <v>44773-0W030</v>
      </c>
    </row>
    <row r="18" spans="1:2" x14ac:dyDescent="0.25">
      <c r="A18" s="13" t="s">
        <v>1104</v>
      </c>
      <c r="B18" t="e">
        <f>VLOOKUP(A18,[4]Sheet1!$A$2:$B$356,2,0)</f>
        <v>#N/A</v>
      </c>
    </row>
    <row r="19" spans="1:2" x14ac:dyDescent="0.25">
      <c r="A19" s="13" t="s">
        <v>1104</v>
      </c>
      <c r="B19" t="e">
        <f>VLOOKUP(A19,[4]Sheet1!$A$2:$B$356,2,0)</f>
        <v>#N/A</v>
      </c>
    </row>
    <row r="20" spans="1:2" hidden="1" x14ac:dyDescent="0.25">
      <c r="A20" s="13" t="s">
        <v>1128</v>
      </c>
      <c r="B20" t="str">
        <f>VLOOKUP(A20,[4]Sheet1!$A$2:$B$356,2,0)</f>
        <v>44771-22700</v>
      </c>
    </row>
    <row r="21" spans="1:2" hidden="1" x14ac:dyDescent="0.25">
      <c r="A21" s="13" t="s">
        <v>1105</v>
      </c>
      <c r="B21" t="str">
        <f>VLOOKUP(A21,[4]Sheet1!$A$2:$B$356,2,0)</f>
        <v>44771-23700</v>
      </c>
    </row>
    <row r="22" spans="1:2" hidden="1" x14ac:dyDescent="0.25">
      <c r="A22" s="13" t="s">
        <v>1120</v>
      </c>
      <c r="B22" t="str">
        <f>VLOOKUP(A22,[4]Sheet1!$A$2:$B$356,2,0)</f>
        <v>44771-24000</v>
      </c>
    </row>
    <row r="23" spans="1:2" x14ac:dyDescent="0.25">
      <c r="A23" s="13" t="s">
        <v>957</v>
      </c>
      <c r="B23" t="e">
        <f>VLOOKUP(A23,[4]Sheet1!$A$2:$B$356,2,0)</f>
        <v>#N/A</v>
      </c>
    </row>
    <row r="24" spans="1:2" hidden="1" x14ac:dyDescent="0.25">
      <c r="A24" s="13" t="s">
        <v>1094</v>
      </c>
      <c r="B24" t="str">
        <f>VLOOKUP(A24,[4]Sheet1!$A$2:$B$356,2,0)</f>
        <v>44771-2380A</v>
      </c>
    </row>
    <row r="25" spans="1:2" x14ac:dyDescent="0.25">
      <c r="A25" s="13" t="s">
        <v>936</v>
      </c>
      <c r="B25" t="e">
        <f>VLOOKUP(A25,[4]Sheet1!$A$2:$B$356,2,0)</f>
        <v>#N/A</v>
      </c>
    </row>
    <row r="26" spans="1:2" x14ac:dyDescent="0.25">
      <c r="A26" s="13" t="s">
        <v>974</v>
      </c>
      <c r="B26" t="e">
        <f>VLOOKUP(A26,[4]Sheet1!$A$2:$B$356,2,0)</f>
        <v>#N/A</v>
      </c>
    </row>
    <row r="27" spans="1:2" x14ac:dyDescent="0.25">
      <c r="A27" s="13" t="s">
        <v>974</v>
      </c>
      <c r="B27" t="e">
        <f>VLOOKUP(A27,[4]Sheet1!$A$2:$B$356,2,0)</f>
        <v>#N/A</v>
      </c>
    </row>
    <row r="28" spans="1:2" x14ac:dyDescent="0.25">
      <c r="A28" s="13" t="s">
        <v>974</v>
      </c>
      <c r="B28" t="e">
        <f>VLOOKUP(A28,[4]Sheet1!$A$2:$B$356,2,0)</f>
        <v>#N/A</v>
      </c>
    </row>
    <row r="29" spans="1:2" x14ac:dyDescent="0.25">
      <c r="A29" s="13" t="s">
        <v>974</v>
      </c>
      <c r="B29" t="e">
        <f>VLOOKUP(A29,[4]Sheet1!$A$2:$B$356,2,0)</f>
        <v>#N/A</v>
      </c>
    </row>
    <row r="30" spans="1:2" x14ac:dyDescent="0.25">
      <c r="A30" s="13" t="s">
        <v>988</v>
      </c>
      <c r="B30" t="e">
        <f>VLOOKUP(A30,[4]Sheet1!$A$2:$B$356,2,0)</f>
        <v>#N/A</v>
      </c>
    </row>
    <row r="31" spans="1:2" x14ac:dyDescent="0.25">
      <c r="A31" s="13" t="s">
        <v>987</v>
      </c>
      <c r="B31" t="e">
        <f>VLOOKUP(A31,[4]Sheet1!$A$2:$B$356,2,0)</f>
        <v>#N/A</v>
      </c>
    </row>
    <row r="32" spans="1:2" x14ac:dyDescent="0.25">
      <c r="A32" s="13" t="s">
        <v>997</v>
      </c>
      <c r="B32" t="e">
        <f>VLOOKUP(A32,[4]Sheet1!$A$2:$B$356,2,0)</f>
        <v>#N/A</v>
      </c>
    </row>
    <row r="33" spans="1:2" hidden="1" x14ac:dyDescent="0.25">
      <c r="A33" s="13" t="s">
        <v>1020</v>
      </c>
      <c r="B33" t="str">
        <f>VLOOKUP(A33,[4]Sheet1!$A$2:$B$356,2,0)</f>
        <v>77259-E0190</v>
      </c>
    </row>
    <row r="34" spans="1:2" x14ac:dyDescent="0.25">
      <c r="A34" s="13" t="s">
        <v>989</v>
      </c>
      <c r="B34" t="e">
        <f>VLOOKUP(A34,[4]Sheet1!$A$2:$B$356,2,0)</f>
        <v>#N/A</v>
      </c>
    </row>
    <row r="35" spans="1:2" hidden="1" x14ac:dyDescent="0.25">
      <c r="A35" s="13" t="s">
        <v>891</v>
      </c>
      <c r="B35" t="str">
        <f>VLOOKUP(A35,[4]Sheet1!$A$2:$B$356,2,0)</f>
        <v>MK515626</v>
      </c>
    </row>
    <row r="36" spans="1:2" hidden="1" x14ac:dyDescent="0.25">
      <c r="A36" s="13" t="s">
        <v>892</v>
      </c>
      <c r="B36" t="str">
        <f>VLOOKUP(A36,[4]Sheet1!$A$2:$B$356,2,0)</f>
        <v>MK515628</v>
      </c>
    </row>
    <row r="37" spans="1:2" hidden="1" x14ac:dyDescent="0.25">
      <c r="A37" s="13" t="s">
        <v>890</v>
      </c>
      <c r="B37" t="str">
        <f>VLOOKUP(A37,[4]Sheet1!$A$2:$B$356,2,0)</f>
        <v>MK551876</v>
      </c>
    </row>
    <row r="38" spans="1:2" hidden="1" x14ac:dyDescent="0.25">
      <c r="A38" s="13" t="s">
        <v>1044</v>
      </c>
      <c r="B38" t="str">
        <f>VLOOKUP(A38,[4]Sheet1!$A$2:$B$356,2,0)</f>
        <v>A4300781202</v>
      </c>
    </row>
    <row r="39" spans="1:2" hidden="1" x14ac:dyDescent="0.25">
      <c r="A39" s="13" t="s">
        <v>958</v>
      </c>
      <c r="B39" t="str">
        <f>VLOOKUP(A39,[4]Sheet1!$A$2:$B$356,2,0)</f>
        <v>A4301870082</v>
      </c>
    </row>
    <row r="40" spans="1:2" hidden="1" x14ac:dyDescent="0.25">
      <c r="A40" s="13" t="s">
        <v>1111</v>
      </c>
      <c r="B40" t="str">
        <f>VLOOKUP(A40,[4]Sheet1!$A$2:$B$356,2,0)</f>
        <v>23827-BZ010</v>
      </c>
    </row>
    <row r="41" spans="1:2" hidden="1" x14ac:dyDescent="0.25">
      <c r="A41" s="13" t="s">
        <v>1109</v>
      </c>
      <c r="B41" t="str">
        <f>VLOOKUP(A41,[4]Sheet1!$A$2:$B$356,2,0)</f>
        <v>77754-BZ080</v>
      </c>
    </row>
    <row r="42" spans="1:2" hidden="1" x14ac:dyDescent="0.25">
      <c r="A42" s="13" t="s">
        <v>1123</v>
      </c>
      <c r="B42" t="str">
        <f>VLOOKUP(A42,[4]Sheet1!$A$2:$B$356,2,0)</f>
        <v>77754-BZ090</v>
      </c>
    </row>
    <row r="43" spans="1:2" hidden="1" x14ac:dyDescent="0.25">
      <c r="A43" s="13" t="s">
        <v>1124</v>
      </c>
      <c r="B43" t="str">
        <f>VLOOKUP(A43,[4]Sheet1!$A$2:$B$356,2,0)</f>
        <v>77795-BZ100</v>
      </c>
    </row>
    <row r="44" spans="1:2" hidden="1" x14ac:dyDescent="0.25">
      <c r="A44" s="13" t="s">
        <v>1147</v>
      </c>
      <c r="B44" t="str">
        <f>VLOOKUP(A44,[4]Sheet1!$A$2:$B$356,2,0)</f>
        <v>12261-BZ160</v>
      </c>
    </row>
    <row r="45" spans="1:2" hidden="1" x14ac:dyDescent="0.25">
      <c r="A45" s="13" t="s">
        <v>1138</v>
      </c>
      <c r="B45" t="str">
        <f>VLOOKUP(A45,[4]Sheet1!$A$2:$B$356,2,0)</f>
        <v>16572-BZ210</v>
      </c>
    </row>
    <row r="46" spans="1:2" hidden="1" x14ac:dyDescent="0.25">
      <c r="A46" s="13" t="s">
        <v>1135</v>
      </c>
      <c r="B46" t="str">
        <f>VLOOKUP(A46,[4]Sheet1!$A$2:$B$356,2,0)</f>
        <v>16571-BZ280</v>
      </c>
    </row>
    <row r="47" spans="1:2" hidden="1" x14ac:dyDescent="0.25">
      <c r="A47" s="13" t="s">
        <v>1145</v>
      </c>
      <c r="B47" t="str">
        <f>VLOOKUP(A47,[4]Sheet1!$A$2:$B$356,2,0)</f>
        <v>16571-BZ290</v>
      </c>
    </row>
    <row r="48" spans="1:2" hidden="1" x14ac:dyDescent="0.25">
      <c r="A48" s="13" t="s">
        <v>1146</v>
      </c>
      <c r="B48" t="str">
        <f>VLOOKUP(A48,[4]Sheet1!$A$2:$B$356,2,0)</f>
        <v>16572-BZ220</v>
      </c>
    </row>
    <row r="49" spans="1:2" hidden="1" x14ac:dyDescent="0.25">
      <c r="A49" s="13" t="s">
        <v>1174</v>
      </c>
      <c r="B49" t="str">
        <f>VLOOKUP(A49,[4]Sheet1!$A$2:$B$356,2,0)</f>
        <v>87246-BZ130</v>
      </c>
    </row>
    <row r="50" spans="1:2" hidden="1" x14ac:dyDescent="0.25">
      <c r="A50" s="13" t="s">
        <v>1139</v>
      </c>
      <c r="B50" t="str">
        <f>VLOOKUP(A50,[4]Sheet1!$A$2:$B$356,2,0)</f>
        <v>87245-BZ190</v>
      </c>
    </row>
    <row r="51" spans="1:2" hidden="1" x14ac:dyDescent="0.25">
      <c r="A51" s="13" t="s">
        <v>1136</v>
      </c>
      <c r="B51" t="str">
        <f>VLOOKUP(A51,[4]Sheet1!$A$2:$B$356,2,0)</f>
        <v>16571-BZ270</v>
      </c>
    </row>
    <row r="52" spans="1:2" hidden="1" x14ac:dyDescent="0.25">
      <c r="A52" s="13" t="s">
        <v>1148</v>
      </c>
      <c r="B52" t="str">
        <f>VLOOKUP(A52,[4]Sheet1!$A$2:$B$356,2,0)</f>
        <v>23827-BZ020</v>
      </c>
    </row>
    <row r="53" spans="1:2" hidden="1" x14ac:dyDescent="0.25">
      <c r="A53" s="13" t="s">
        <v>1149</v>
      </c>
      <c r="B53" t="str">
        <f>VLOOKUP(A53,[4]Sheet1!$A$2:$B$356,2,0)</f>
        <v>12262-BZ080</v>
      </c>
    </row>
    <row r="54" spans="1:2" hidden="1" x14ac:dyDescent="0.25">
      <c r="A54" s="13" t="s">
        <v>1175</v>
      </c>
      <c r="B54" t="str">
        <f>VLOOKUP(A54,[4]Sheet1!$A$2:$B$356,2,0)</f>
        <v>77213-BZ170</v>
      </c>
    </row>
    <row r="55" spans="1:2" hidden="1" x14ac:dyDescent="0.25">
      <c r="A55" s="13" t="s">
        <v>1140</v>
      </c>
      <c r="B55" t="str">
        <f>VLOOKUP(A55,[4]Sheet1!$A$2:$B$356,2,0)</f>
        <v>12261-BZ180</v>
      </c>
    </row>
    <row r="56" spans="1:2" hidden="1" x14ac:dyDescent="0.25">
      <c r="A56" s="13" t="s">
        <v>1137</v>
      </c>
      <c r="B56" t="str">
        <f>VLOOKUP(A56,[4]Sheet1!$A$2:$B$356,2,0)</f>
        <v>77213-BZ160</v>
      </c>
    </row>
    <row r="57" spans="1:2" hidden="1" x14ac:dyDescent="0.25">
      <c r="A57" s="13" t="s">
        <v>1115</v>
      </c>
      <c r="B57" t="str">
        <f>VLOOKUP(A57,[4]Sheet1!$A$2:$B$356,2,0)</f>
        <v>23827-BZ080</v>
      </c>
    </row>
    <row r="58" spans="1:2" hidden="1" x14ac:dyDescent="0.25">
      <c r="A58" s="13" t="s">
        <v>1096</v>
      </c>
      <c r="B58" t="str">
        <f>VLOOKUP(A58,[4]Sheet1!$A$2:$B$356,2,0)</f>
        <v>77213-BZ150</v>
      </c>
    </row>
    <row r="59" spans="1:2" hidden="1" x14ac:dyDescent="0.25">
      <c r="A59" s="13" t="s">
        <v>1095</v>
      </c>
      <c r="B59" t="str">
        <f>VLOOKUP(A59,[4]Sheet1!$A$2:$B$356,2,0)</f>
        <v>77269-BZ120</v>
      </c>
    </row>
    <row r="60" spans="1:2" hidden="1" x14ac:dyDescent="0.25">
      <c r="A60" s="13" t="s">
        <v>1116</v>
      </c>
      <c r="B60" t="str">
        <f>VLOOKUP(A60,[4]Sheet1!$A$2:$B$356,2,0)</f>
        <v>77754-BZ240</v>
      </c>
    </row>
    <row r="61" spans="1:2" hidden="1" x14ac:dyDescent="0.25">
      <c r="A61" s="13" t="s">
        <v>1100</v>
      </c>
      <c r="B61" t="str">
        <f>VLOOKUP(A61,[4]Sheet1!$A$2:$B$356,2,0)</f>
        <v>77754-BZ260</v>
      </c>
    </row>
    <row r="62" spans="1:2" hidden="1" x14ac:dyDescent="0.25">
      <c r="A62" s="13" t="s">
        <v>1093</v>
      </c>
      <c r="B62" t="str">
        <f>VLOOKUP(A62,[4]Sheet1!$A$2:$B$356,2,0)</f>
        <v>77754-BZ250</v>
      </c>
    </row>
    <row r="63" spans="1:2" hidden="1" x14ac:dyDescent="0.25">
      <c r="A63" s="13" t="s">
        <v>1101</v>
      </c>
      <c r="B63" t="str">
        <f>VLOOKUP(A63,[4]Sheet1!$A$2:$B$356,2,0)</f>
        <v>77754-BZ230</v>
      </c>
    </row>
    <row r="64" spans="1:2" hidden="1" x14ac:dyDescent="0.25">
      <c r="A64" s="13" t="s">
        <v>1110</v>
      </c>
      <c r="B64" t="str">
        <f>VLOOKUP(A64,[4]Sheet1!$A$2:$B$356,2,0)</f>
        <v>12261-BZ220</v>
      </c>
    </row>
    <row r="65" spans="1:2" hidden="1" x14ac:dyDescent="0.25">
      <c r="A65" s="13" t="s">
        <v>1130</v>
      </c>
      <c r="B65" t="str">
        <f>VLOOKUP(A65,[4]Sheet1!$A$2:$B$356,2,0)</f>
        <v>23827-BZ060</v>
      </c>
    </row>
    <row r="66" spans="1:2" hidden="1" x14ac:dyDescent="0.25">
      <c r="A66" s="13" t="s">
        <v>1106</v>
      </c>
      <c r="B66" t="str">
        <f>VLOOKUP(A66,[4]Sheet1!$A$2:$B$356,2,0)</f>
        <v>77754-BZ320</v>
      </c>
    </row>
    <row r="67" spans="1:2" hidden="1" x14ac:dyDescent="0.25">
      <c r="A67" s="13" t="s">
        <v>1117</v>
      </c>
      <c r="B67" t="str">
        <f>VLOOKUP(A67,[4]Sheet1!$A$2:$B$356,2,0)</f>
        <v>77754-BZ330</v>
      </c>
    </row>
    <row r="68" spans="1:2" hidden="1" x14ac:dyDescent="0.25">
      <c r="A68" s="13" t="s">
        <v>945</v>
      </c>
      <c r="B68" t="str">
        <f>VLOOKUP(A68,[4]Sheet1!$A$2:$B$356,2,0)</f>
        <v>77754-BZ300</v>
      </c>
    </row>
    <row r="69" spans="1:2" hidden="1" x14ac:dyDescent="0.25">
      <c r="A69" s="13" t="s">
        <v>946</v>
      </c>
      <c r="B69" t="str">
        <f>VLOOKUP(A69,[4]Sheet1!$A$2:$B$356,2,0)</f>
        <v>77754-BZ310</v>
      </c>
    </row>
    <row r="70" spans="1:2" hidden="1" x14ac:dyDescent="0.25">
      <c r="A70" s="13" t="s">
        <v>1049</v>
      </c>
      <c r="B70" t="str">
        <f>VLOOKUP(A70,[4]Sheet1!$A$2:$B$356,2,0)</f>
        <v>16267-BZ080</v>
      </c>
    </row>
    <row r="71" spans="1:2" hidden="1" x14ac:dyDescent="0.25">
      <c r="A71" s="13" t="s">
        <v>1002</v>
      </c>
      <c r="B71" t="str">
        <f>VLOOKUP(A71,[4]Sheet1!$A$2:$B$356,2,0)</f>
        <v>16261-BZ550</v>
      </c>
    </row>
    <row r="72" spans="1:2" hidden="1" x14ac:dyDescent="0.25">
      <c r="A72" s="13" t="s">
        <v>1003</v>
      </c>
      <c r="B72" t="str">
        <f>VLOOKUP(A72,[4]Sheet1!$A$2:$B$356,2,0)</f>
        <v>16281-BZ070</v>
      </c>
    </row>
    <row r="73" spans="1:2" hidden="1" x14ac:dyDescent="0.25">
      <c r="A73" s="13" t="s">
        <v>1000</v>
      </c>
      <c r="B73" t="str">
        <f>VLOOKUP(A73,[4]Sheet1!$A$2:$B$356,2,0)</f>
        <v>16571-BZ390</v>
      </c>
    </row>
    <row r="74" spans="1:2" hidden="1" x14ac:dyDescent="0.25">
      <c r="A74" s="13" t="s">
        <v>1030</v>
      </c>
      <c r="B74" t="str">
        <f>VLOOKUP(A74,[4]Sheet1!$A$2:$B$356,2,0)</f>
        <v>16264-BZ220</v>
      </c>
    </row>
    <row r="75" spans="1:2" hidden="1" x14ac:dyDescent="0.25">
      <c r="A75" s="13" t="s">
        <v>1031</v>
      </c>
      <c r="B75" t="str">
        <f>VLOOKUP(A75,[4]Sheet1!$A$2:$B$356,2,0)</f>
        <v>16261-BZ560</v>
      </c>
    </row>
    <row r="76" spans="1:2" hidden="1" x14ac:dyDescent="0.25">
      <c r="A76" s="13" t="s">
        <v>996</v>
      </c>
      <c r="B76" t="str">
        <f>VLOOKUP(A76,[4]Sheet1!$A$2:$B$356,2,0)</f>
        <v>87246-BZ220</v>
      </c>
    </row>
    <row r="77" spans="1:2" hidden="1" x14ac:dyDescent="0.25">
      <c r="A77" s="13" t="s">
        <v>1024</v>
      </c>
      <c r="B77" t="str">
        <f>VLOOKUP(A77,[4]Sheet1!$A$2:$B$356,2,0)</f>
        <v>87246-BZ310</v>
      </c>
    </row>
    <row r="78" spans="1:2" hidden="1" x14ac:dyDescent="0.25">
      <c r="A78" s="13" t="s">
        <v>1008</v>
      </c>
      <c r="B78" t="str">
        <f>VLOOKUP(A78,[4]Sheet1!$A$2:$B$356,2,0)</f>
        <v>87245-BZ280</v>
      </c>
    </row>
    <row r="79" spans="1:2" hidden="1" x14ac:dyDescent="0.25">
      <c r="A79" s="13" t="s">
        <v>1025</v>
      </c>
      <c r="B79" t="str">
        <f>VLOOKUP(A79,[4]Sheet1!$A$2:$B$356,2,0)</f>
        <v>87245-BZ370</v>
      </c>
    </row>
    <row r="80" spans="1:2" hidden="1" x14ac:dyDescent="0.25">
      <c r="A80" s="13" t="s">
        <v>1033</v>
      </c>
      <c r="B80" t="str">
        <f>VLOOKUP(A80,[4]Sheet1!$A$2:$B$356,2,0)</f>
        <v>23826-BZ020-H</v>
      </c>
    </row>
    <row r="81" spans="1:2" hidden="1" x14ac:dyDescent="0.25">
      <c r="A81" s="13" t="s">
        <v>1033</v>
      </c>
      <c r="B81" t="str">
        <f>VLOOKUP(A81,[4]Sheet1!$A$2:$B$356,2,0)</f>
        <v>23826-BZ020-H</v>
      </c>
    </row>
    <row r="82" spans="1:2" hidden="1" x14ac:dyDescent="0.25">
      <c r="A82" s="13" t="s">
        <v>961</v>
      </c>
      <c r="B82" t="str">
        <f>VLOOKUP(A82,[4]Sheet1!$A$2:$B$356,2,0)</f>
        <v>23827-BZ140-H</v>
      </c>
    </row>
    <row r="83" spans="1:2" hidden="1" x14ac:dyDescent="0.25">
      <c r="A83" s="13" t="s">
        <v>968</v>
      </c>
      <c r="B83" t="str">
        <f>VLOOKUP(A83,[4]Sheet1!$A$2:$B$356,2,0)</f>
        <v>23828-BZ010-H</v>
      </c>
    </row>
    <row r="84" spans="1:2" hidden="1" x14ac:dyDescent="0.25">
      <c r="A84" s="13" t="s">
        <v>968</v>
      </c>
      <c r="B84" t="str">
        <f>VLOOKUP(A84,[4]Sheet1!$A$2:$B$356,2,0)</f>
        <v>23828-BZ010-H</v>
      </c>
    </row>
    <row r="85" spans="1:2" hidden="1" x14ac:dyDescent="0.25">
      <c r="A85" s="13" t="s">
        <v>985</v>
      </c>
      <c r="B85" t="str">
        <f>VLOOKUP(A85,[4]Sheet1!$A$2:$B$356,2,0)</f>
        <v>12262-BZ130-H</v>
      </c>
    </row>
    <row r="86" spans="1:2" hidden="1" x14ac:dyDescent="0.25">
      <c r="A86" s="13" t="s">
        <v>978</v>
      </c>
      <c r="B86" t="str">
        <f>VLOOKUP(A86,[4]Sheet1!$A$2:$B$356,2,0)</f>
        <v>12262-BZ200-H</v>
      </c>
    </row>
    <row r="87" spans="1:2" hidden="1" x14ac:dyDescent="0.25">
      <c r="A87" s="13" t="s">
        <v>979</v>
      </c>
      <c r="B87" t="str">
        <f>VLOOKUP(A87,[4]Sheet1!$A$2:$B$356,2,0)</f>
        <v>77249-BZ030-H</v>
      </c>
    </row>
    <row r="88" spans="1:2" hidden="1" x14ac:dyDescent="0.25">
      <c r="A88" s="13" t="s">
        <v>1052</v>
      </c>
      <c r="B88" t="str">
        <f>VLOOKUP(A88,[4]Sheet1!$A$2:$B$356,2,0)</f>
        <v>16261-BZ610-J</v>
      </c>
    </row>
    <row r="89" spans="1:2" hidden="1" x14ac:dyDescent="0.25">
      <c r="A89" s="13" t="s">
        <v>1076</v>
      </c>
      <c r="B89" t="str">
        <f>VLOOKUP(A89,[4]Sheet1!$A$2:$B$356,2,0)</f>
        <v>16264-BZ310-J</v>
      </c>
    </row>
    <row r="90" spans="1:2" hidden="1" x14ac:dyDescent="0.25">
      <c r="A90" s="13" t="s">
        <v>1057</v>
      </c>
      <c r="B90" t="str">
        <f>VLOOKUP(A90,[4]Sheet1!$A$2:$B$356,2,0)</f>
        <v>77269-BZ130-H</v>
      </c>
    </row>
    <row r="91" spans="1:2" hidden="1" x14ac:dyDescent="0.25">
      <c r="A91" s="13" t="s">
        <v>1056</v>
      </c>
      <c r="B91" t="str">
        <f>VLOOKUP(A91,[4]Sheet1!$A$2:$B$356,2,0)</f>
        <v>77259-BZ130-H</v>
      </c>
    </row>
    <row r="92" spans="1:2" hidden="1" x14ac:dyDescent="0.25">
      <c r="A92" s="13" t="s">
        <v>1055</v>
      </c>
      <c r="B92" t="str">
        <f>VLOOKUP(A92,[4]Sheet1!$A$2:$B$356,2,0)</f>
        <v>77259-BZ120-H</v>
      </c>
    </row>
    <row r="93" spans="1:2" hidden="1" x14ac:dyDescent="0.25">
      <c r="A93" s="13" t="s">
        <v>1066</v>
      </c>
      <c r="B93" t="str">
        <f>VLOOKUP(A93,[4]Sheet1!$A$2:$B$356,2,0)</f>
        <v>87245-BZ290-K</v>
      </c>
    </row>
    <row r="94" spans="1:2" hidden="1" x14ac:dyDescent="0.25">
      <c r="A94" s="13" t="s">
        <v>1067</v>
      </c>
      <c r="B94" t="str">
        <f>VLOOKUP(A94,[4]Sheet1!$A$2:$B$356,2,0)</f>
        <v>87245-BZ300-J</v>
      </c>
    </row>
    <row r="95" spans="1:2" hidden="1" x14ac:dyDescent="0.25">
      <c r="A95" s="13" t="s">
        <v>1077</v>
      </c>
      <c r="B95" t="str">
        <f>VLOOKUP(A95,[4]Sheet1!$A$2:$B$356,2,0)</f>
        <v>87245-BZ310-H</v>
      </c>
    </row>
    <row r="96" spans="1:2" hidden="1" x14ac:dyDescent="0.25">
      <c r="A96" s="13" t="s">
        <v>1060</v>
      </c>
      <c r="B96" t="str">
        <f>VLOOKUP(A96,[4]Sheet1!$A$2:$B$356,2,0)</f>
        <v>87246-BZ250-H</v>
      </c>
    </row>
    <row r="97" spans="1:2" hidden="1" x14ac:dyDescent="0.25">
      <c r="A97" s="13" t="s">
        <v>1075</v>
      </c>
      <c r="B97" t="str">
        <f>VLOOKUP(A97,[4]Sheet1!$A$2:$B$356,2,0)</f>
        <v>87245-BZ330-K</v>
      </c>
    </row>
    <row r="98" spans="1:2" hidden="1" x14ac:dyDescent="0.25">
      <c r="A98" s="13" t="s">
        <v>1062</v>
      </c>
      <c r="B98" t="str">
        <f>VLOOKUP(A98,[4]Sheet1!$A$2:$B$356,2,0)</f>
        <v>87245-BZ340-H</v>
      </c>
    </row>
    <row r="99" spans="1:2" hidden="1" x14ac:dyDescent="0.25">
      <c r="A99" s="13" t="s">
        <v>1074</v>
      </c>
      <c r="B99" t="str">
        <f>VLOOKUP(A99,[4]Sheet1!$A$2:$B$356,2,0)</f>
        <v>87245-BZ350-H</v>
      </c>
    </row>
    <row r="100" spans="1:2" hidden="1" x14ac:dyDescent="0.25">
      <c r="A100" s="13" t="s">
        <v>1050</v>
      </c>
      <c r="B100" t="str">
        <f>VLOOKUP(A100,[4]Sheet1!$A$2:$B$356,2,0)</f>
        <v>87246-BZ290-H</v>
      </c>
    </row>
    <row r="101" spans="1:2" hidden="1" x14ac:dyDescent="0.25">
      <c r="A101" s="13" t="s">
        <v>1061</v>
      </c>
      <c r="B101" t="str">
        <f>VLOOKUP(A101,[4]Sheet1!$A$2:$B$356,2,0)</f>
        <v>87246-BZ240-H</v>
      </c>
    </row>
    <row r="102" spans="1:2" hidden="1" x14ac:dyDescent="0.25">
      <c r="A102" s="13" t="s">
        <v>1058</v>
      </c>
      <c r="B102" t="str">
        <f>VLOOKUP(A102,[4]Sheet1!$A$2:$B$356,2,0)</f>
        <v>87246-BZ280-H</v>
      </c>
    </row>
    <row r="103" spans="1:2" hidden="1" x14ac:dyDescent="0.25">
      <c r="A103" s="13" t="s">
        <v>1071</v>
      </c>
      <c r="B103" t="str">
        <f>VLOOKUP(A103,[4]Sheet1!$A$2:$B$356,2,0)</f>
        <v>87245-BZ330-K</v>
      </c>
    </row>
    <row r="104" spans="1:2" hidden="1" x14ac:dyDescent="0.25">
      <c r="A104" s="13" t="s">
        <v>1073</v>
      </c>
      <c r="B104" t="str">
        <f>VLOOKUP(A104,[4]Sheet1!$A$2:$B$356,2,0)</f>
        <v>16264-BZ320-H</v>
      </c>
    </row>
    <row r="105" spans="1:2" hidden="1" x14ac:dyDescent="0.25">
      <c r="A105" s="13" t="s">
        <v>1079</v>
      </c>
      <c r="B105" t="str">
        <f>VLOOKUP(A105,[4]Sheet1!$A$2:$B$356,2,0)</f>
        <v>23827-BZ150-H (1)</v>
      </c>
    </row>
    <row r="106" spans="1:2" hidden="1" x14ac:dyDescent="0.25">
      <c r="A106" s="13" t="s">
        <v>1069</v>
      </c>
      <c r="B106" t="str">
        <f>VLOOKUP(A106,[4]Sheet1!$A$2:$B$356,2,0)</f>
        <v>23827-BZ150-H (2)</v>
      </c>
    </row>
    <row r="107" spans="1:2" hidden="1" x14ac:dyDescent="0.25">
      <c r="A107" s="13" t="s">
        <v>1078</v>
      </c>
      <c r="B107" t="str">
        <f>VLOOKUP(A107,[4]Sheet1!$A$2:$B$356,2,0)</f>
        <v>16261-BZ660-H</v>
      </c>
    </row>
    <row r="108" spans="1:2" hidden="1" x14ac:dyDescent="0.25">
      <c r="A108" s="13" t="s">
        <v>1068</v>
      </c>
      <c r="B108" t="str">
        <f>VLOOKUP(A108,[4]Sheet1!$A$2:$B$356,2,0)</f>
        <v>44726-BZ020-H</v>
      </c>
    </row>
    <row r="109" spans="1:2" hidden="1" x14ac:dyDescent="0.25">
      <c r="A109" s="13" t="s">
        <v>1065</v>
      </c>
      <c r="B109" t="str">
        <f>VLOOKUP(A109,[4]Sheet1!$A$2:$B$356,2,0)</f>
        <v>16267-BZ210-H</v>
      </c>
    </row>
    <row r="110" spans="1:2" hidden="1" x14ac:dyDescent="0.25">
      <c r="A110" s="13" t="s">
        <v>993</v>
      </c>
      <c r="B110" t="str">
        <f>VLOOKUP(A110,[4]Sheet1!$A$2:$B$356,2,0)</f>
        <v>16264-BZ320-H</v>
      </c>
    </row>
    <row r="111" spans="1:2" hidden="1" x14ac:dyDescent="0.25">
      <c r="A111" s="13" t="s">
        <v>1036</v>
      </c>
      <c r="B111" t="str">
        <f>VLOOKUP(A111,[4]Sheet1!$A$2:$B$356,2,0)</f>
        <v>16261-BZ650-H</v>
      </c>
    </row>
    <row r="112" spans="1:2" hidden="1" x14ac:dyDescent="0.25">
      <c r="A112" s="13" t="s">
        <v>1043</v>
      </c>
      <c r="B112" t="str">
        <f>VLOOKUP(A112,[4]Sheet1!$A$2:$B$356,2,0)</f>
        <v>16261-BZ600-J</v>
      </c>
    </row>
    <row r="113" spans="1:2" hidden="1" x14ac:dyDescent="0.25">
      <c r="A113" s="13" t="s">
        <v>1035</v>
      </c>
      <c r="B113" t="str">
        <f>VLOOKUP(A113,[4]Sheet1!$A$2:$B$356,2,0)</f>
        <v>12261-BZ210-B</v>
      </c>
    </row>
    <row r="114" spans="1:2" hidden="1" x14ac:dyDescent="0.25">
      <c r="A114" s="13" t="s">
        <v>1011</v>
      </c>
      <c r="B114" t="str">
        <f>VLOOKUP(A114,[4]Sheet1!$A$2:$B$356,2,0)</f>
        <v>16264-BZ230-H</v>
      </c>
    </row>
    <row r="115" spans="1:2" hidden="1" x14ac:dyDescent="0.25">
      <c r="A115" s="13" t="s">
        <v>986</v>
      </c>
      <c r="B115" t="str">
        <f>VLOOKUP(A115,[4]Sheet1!$A$2:$B$356,2,0)</f>
        <v>44726-BZ010-H</v>
      </c>
    </row>
    <row r="116" spans="1:2" hidden="1" x14ac:dyDescent="0.25">
      <c r="A116" s="13" t="s">
        <v>959</v>
      </c>
      <c r="B116" t="str">
        <f>VLOOKUP(A116,[4]Sheet1!$A$2:$B$356,2,0)</f>
        <v>23827-BZ130-H</v>
      </c>
    </row>
    <row r="117" spans="1:2" hidden="1" x14ac:dyDescent="0.25">
      <c r="A117" s="13" t="s">
        <v>1064</v>
      </c>
      <c r="B117" t="str">
        <f>VLOOKUP(A117,[4]Sheet1!$A$2:$B$356,2,0)</f>
        <v>16261-BZ430-H</v>
      </c>
    </row>
    <row r="118" spans="1:2" hidden="1" x14ac:dyDescent="0.25">
      <c r="A118" s="13" t="s">
        <v>1080</v>
      </c>
      <c r="B118" t="str">
        <f>VLOOKUP(A118,[4]Sheet1!$A$2:$B$356,2,0)</f>
        <v>77213-BZ250-H</v>
      </c>
    </row>
    <row r="119" spans="1:2" hidden="1" x14ac:dyDescent="0.25">
      <c r="A119" s="13" t="s">
        <v>1072</v>
      </c>
      <c r="B119" t="str">
        <f>VLOOKUP(A119,[4]Sheet1!$A$2:$B$356,2,0)</f>
        <v>77269-BZ140-H</v>
      </c>
    </row>
    <row r="120" spans="1:2" hidden="1" x14ac:dyDescent="0.25">
      <c r="A120" s="13" t="s">
        <v>1053</v>
      </c>
      <c r="B120" t="str">
        <f>VLOOKUP(A120,[4]Sheet1!$A$2:$B$356,2,0)</f>
        <v>87245-BZ380-H</v>
      </c>
    </row>
    <row r="121" spans="1:2" hidden="1" x14ac:dyDescent="0.25">
      <c r="A121" s="13" t="s">
        <v>1059</v>
      </c>
      <c r="B121" t="str">
        <f>VLOOKUP(A121,[4]Sheet1!$A$2:$B$356,2,0)</f>
        <v>87245-BZ390-H</v>
      </c>
    </row>
    <row r="122" spans="1:2" hidden="1" x14ac:dyDescent="0.25">
      <c r="A122" s="13" t="s">
        <v>1051</v>
      </c>
      <c r="B122" t="str">
        <f>VLOOKUP(A122,[4]Sheet1!$A$2:$B$356,2,0)</f>
        <v>87245-BZ410-H</v>
      </c>
    </row>
    <row r="123" spans="1:2" hidden="1" x14ac:dyDescent="0.25">
      <c r="A123" s="13" t="s">
        <v>1054</v>
      </c>
      <c r="B123" t="str">
        <f>VLOOKUP(A123,[4]Sheet1!$A$2:$B$356,2,0)</f>
        <v>87246-BZ320-H</v>
      </c>
    </row>
    <row r="124" spans="1:2" hidden="1" x14ac:dyDescent="0.25">
      <c r="A124" s="13" t="s">
        <v>1063</v>
      </c>
      <c r="B124" t="str">
        <f>VLOOKUP(A124,[4]Sheet1!$A$2:$B$356,2,0)</f>
        <v>87246-BZ330-H</v>
      </c>
    </row>
    <row r="125" spans="1:2" hidden="1" x14ac:dyDescent="0.25">
      <c r="A125" s="13" t="s">
        <v>1070</v>
      </c>
      <c r="B125" t="str">
        <f>VLOOKUP(A125,[4]Sheet1!$A$2:$B$356,2,0)</f>
        <v>87246-BZ350-H</v>
      </c>
    </row>
    <row r="126" spans="1:2" hidden="1" x14ac:dyDescent="0.25">
      <c r="A126" s="13" t="s">
        <v>999</v>
      </c>
      <c r="B126" t="str">
        <f>VLOOKUP(A126,[4]Sheet1!$A$2:$B$356,2,0)</f>
        <v>17341-BZ040-H</v>
      </c>
    </row>
    <row r="127" spans="1:2" hidden="1" x14ac:dyDescent="0.25">
      <c r="A127" s="13" t="s">
        <v>1023</v>
      </c>
      <c r="B127" t="str">
        <f>VLOOKUP(A127,[4]Sheet1!$A$2:$B$356,2,0)</f>
        <v>87246-BZ370-H</v>
      </c>
    </row>
    <row r="128" spans="1:2" hidden="1" x14ac:dyDescent="0.25">
      <c r="A128" s="13" t="s">
        <v>1026</v>
      </c>
      <c r="B128" t="str">
        <f>VLOOKUP(A128,[4]Sheet1!$A$2:$B$356,2,0)</f>
        <v>16572-BZ420-H</v>
      </c>
    </row>
    <row r="129" spans="1:2" hidden="1" x14ac:dyDescent="0.25">
      <c r="A129" s="13" t="s">
        <v>1027</v>
      </c>
      <c r="B129" t="str">
        <f>VLOOKUP(A129,[4]Sheet1!$A$2:$B$356,2,0)</f>
        <v>87245-BZ430-H</v>
      </c>
    </row>
    <row r="130" spans="1:2" hidden="1" x14ac:dyDescent="0.25">
      <c r="A130" s="13" t="s">
        <v>967</v>
      </c>
      <c r="B130" t="str">
        <f>VLOOKUP(A130,[4]Sheet1!$A$2:$B$356,2,0)</f>
        <v>87245-BZ30-H</v>
      </c>
    </row>
    <row r="131" spans="1:2" hidden="1" x14ac:dyDescent="0.25">
      <c r="A131" s="13" t="s">
        <v>1038</v>
      </c>
      <c r="B131" t="str">
        <f>VLOOKUP(A131,[4]Sheet1!$A$2:$B$356,2,0)</f>
        <v>87245-BZ450-H</v>
      </c>
    </row>
    <row r="132" spans="1:2" hidden="1" x14ac:dyDescent="0.25">
      <c r="A132" s="13" t="s">
        <v>962</v>
      </c>
      <c r="B132" t="str">
        <f>VLOOKUP(A132,[4]Sheet1!$A$2:$B$356,2,0)</f>
        <v>87246-BZ390H</v>
      </c>
    </row>
    <row r="133" spans="1:2" hidden="1" x14ac:dyDescent="0.25">
      <c r="A133" s="13" t="s">
        <v>1193</v>
      </c>
      <c r="B133" t="str">
        <f>VLOOKUP(A133,[4]Sheet1!$A$2:$B$356,2,0)</f>
        <v>31434-B0041</v>
      </c>
    </row>
    <row r="134" spans="1:2" hidden="1" x14ac:dyDescent="0.25">
      <c r="A134" s="13" t="s">
        <v>1194</v>
      </c>
      <c r="B134" t="str">
        <f>VLOOKUP(A134,[4]Sheet1!$A$2:$B$356,2,0)</f>
        <v>31434-B0080</v>
      </c>
    </row>
    <row r="135" spans="1:2" hidden="1" x14ac:dyDescent="0.25">
      <c r="A135" s="13" t="s">
        <v>1195</v>
      </c>
      <c r="B135" t="str">
        <f>VLOOKUP(A135,[4]Sheet1!$A$2:$B$356,2,0)</f>
        <v>31434-B1070</v>
      </c>
    </row>
    <row r="136" spans="1:2" hidden="1" x14ac:dyDescent="0.25">
      <c r="A136" s="13" t="s">
        <v>1196</v>
      </c>
      <c r="B136" t="str">
        <f>VLOOKUP(A136,[4]Sheet1!$A$2:$B$356,2,0)</f>
        <v>31434-B1090</v>
      </c>
    </row>
    <row r="137" spans="1:2" hidden="1" x14ac:dyDescent="0.25">
      <c r="A137" s="13" t="s">
        <v>1197</v>
      </c>
      <c r="B137" t="str">
        <f>VLOOKUP(A137,[4]Sheet1!$A$2:$B$356,2,0)</f>
        <v>31434-B5030</v>
      </c>
    </row>
    <row r="138" spans="1:2" hidden="1" x14ac:dyDescent="0.25">
      <c r="A138" s="13" t="s">
        <v>1198</v>
      </c>
      <c r="B138" t="str">
        <f>VLOOKUP(A138,[4]Sheet1!$A$2:$B$356,2,0)</f>
        <v>31434-B5470</v>
      </c>
    </row>
    <row r="139" spans="1:2" hidden="1" x14ac:dyDescent="0.25">
      <c r="A139" s="13" t="s">
        <v>1200</v>
      </c>
      <c r="B139" t="str">
        <f>VLOOKUP(A139,[4]Sheet1!$A$2:$B$356,2,0)</f>
        <v>87246-BZ300-H</v>
      </c>
    </row>
    <row r="140" spans="1:2" hidden="1" x14ac:dyDescent="0.25">
      <c r="A140" s="13" t="s">
        <v>1207</v>
      </c>
      <c r="B140" t="str">
        <f>VLOOKUP(A140,[4]Sheet1!$A$2:$B$356,2,0)</f>
        <v>87246-BZ450-H</v>
      </c>
    </row>
    <row r="141" spans="1:2" hidden="1" x14ac:dyDescent="0.25">
      <c r="A141" s="13" t="s">
        <v>1208</v>
      </c>
      <c r="B141" t="str">
        <f>VLOOKUP(A141,[4]Sheet1!$A$2:$B$356,2,0)</f>
        <v>87246-BZ460-H</v>
      </c>
    </row>
    <row r="142" spans="1:2" hidden="1" x14ac:dyDescent="0.25">
      <c r="A142" s="13" t="s">
        <v>1206</v>
      </c>
      <c r="B142" t="str">
        <f>VLOOKUP(A142,[4]Sheet1!$A$2:$B$356,2,0)</f>
        <v>87245-BZ360-H</v>
      </c>
    </row>
    <row r="143" spans="1:2" hidden="1" x14ac:dyDescent="0.25">
      <c r="A143" s="13" t="s">
        <v>1199</v>
      </c>
      <c r="B143" t="str">
        <f>VLOOKUP(A143,[4]Sheet1!$A$2:$B$356,2,0)</f>
        <v>17294-B1050</v>
      </c>
    </row>
    <row r="144" spans="1:2" hidden="1" x14ac:dyDescent="0.25">
      <c r="A144" s="13" t="s">
        <v>1202</v>
      </c>
      <c r="B144" t="str">
        <f>VLOOKUP(A144,[4]Sheet1!$A$2:$B$356,2,0)</f>
        <v>17294-B1070</v>
      </c>
    </row>
    <row r="145" spans="1:2" hidden="1" x14ac:dyDescent="0.25">
      <c r="A145" s="13" t="s">
        <v>1210</v>
      </c>
      <c r="B145" t="str">
        <f>VLOOKUP(A145,[4]Sheet1!$A$2:$B$356,2,0)</f>
        <v>16264-BZ400-H</v>
      </c>
    </row>
    <row r="146" spans="1:2" hidden="1" x14ac:dyDescent="0.25">
      <c r="A146" s="13" t="s">
        <v>1209</v>
      </c>
      <c r="B146" t="str">
        <f>VLOOKUP(A146,[4]Sheet1!$A$2:$B$356,2,0)</f>
        <v>16280-BZ080</v>
      </c>
    </row>
    <row r="147" spans="1:2" hidden="1" x14ac:dyDescent="0.25">
      <c r="A147" s="13" t="s">
        <v>1213</v>
      </c>
      <c r="B147" t="str">
        <f>VLOOKUP(A147,[4]Sheet1!$A$2:$B$356,2,0)</f>
        <v>12263-BZ010</v>
      </c>
    </row>
    <row r="148" spans="1:2" hidden="1" x14ac:dyDescent="0.25">
      <c r="A148" s="13" t="s">
        <v>1217</v>
      </c>
      <c r="B148" t="str">
        <f>VLOOKUP(A148,[4]Sheet1!$A$2:$B$356,2,0)</f>
        <v>87246--BZ490-K</v>
      </c>
    </row>
    <row r="149" spans="1:2" hidden="1" x14ac:dyDescent="0.25">
      <c r="A149" s="13" t="s">
        <v>1112</v>
      </c>
      <c r="B149" t="str">
        <f>VLOOKUP(A149,[4]Sheet1!$A$2:$B$356,2,0)</f>
        <v>89823-94260</v>
      </c>
    </row>
    <row r="150" spans="1:2" hidden="1" x14ac:dyDescent="0.25">
      <c r="A150" s="13" t="s">
        <v>1112</v>
      </c>
      <c r="B150" t="str">
        <f>VLOOKUP(A150,[4]Sheet1!$A$2:$B$356,2,0)</f>
        <v>89823-94260</v>
      </c>
    </row>
    <row r="151" spans="1:2" hidden="1" x14ac:dyDescent="0.25">
      <c r="A151" s="13" t="s">
        <v>1112</v>
      </c>
      <c r="B151" t="str">
        <f>VLOOKUP(A151,[4]Sheet1!$A$2:$B$356,2,0)</f>
        <v>89823-94260</v>
      </c>
    </row>
    <row r="152" spans="1:2" hidden="1" x14ac:dyDescent="0.25">
      <c r="A152" s="13" t="s">
        <v>1121</v>
      </c>
      <c r="B152" t="str">
        <f>VLOOKUP(A152,[4]Sheet1!$A$2:$B$356,2,0)</f>
        <v>89823-94270</v>
      </c>
    </row>
    <row r="153" spans="1:2" hidden="1" x14ac:dyDescent="0.25">
      <c r="A153" s="13" t="s">
        <v>1121</v>
      </c>
      <c r="B153" t="str">
        <f>VLOOKUP(A153,[4]Sheet1!$A$2:$B$356,2,0)</f>
        <v>89823-94270</v>
      </c>
    </row>
    <row r="154" spans="1:2" hidden="1" x14ac:dyDescent="0.25">
      <c r="A154" s="13" t="s">
        <v>1121</v>
      </c>
      <c r="B154" t="str">
        <f>VLOOKUP(A154,[4]Sheet1!$A$2:$B$356,2,0)</f>
        <v>89823-94270</v>
      </c>
    </row>
    <row r="155" spans="1:2" hidden="1" x14ac:dyDescent="0.25">
      <c r="A155" s="13" t="s">
        <v>1114</v>
      </c>
      <c r="B155" t="str">
        <f>VLOOKUP(A155,[4]Sheet1!$A$2:$B$356,2,0)</f>
        <v>89381-03491</v>
      </c>
    </row>
    <row r="156" spans="1:2" hidden="1" x14ac:dyDescent="0.25">
      <c r="A156" s="13" t="s">
        <v>1114</v>
      </c>
      <c r="B156" t="str">
        <f>VLOOKUP(A156,[4]Sheet1!$A$2:$B$356,2,0)</f>
        <v>89381-03491</v>
      </c>
    </row>
    <row r="157" spans="1:2" hidden="1" x14ac:dyDescent="0.25">
      <c r="A157" s="13" t="s">
        <v>1114</v>
      </c>
      <c r="B157" t="str">
        <f>VLOOKUP(A157,[4]Sheet1!$A$2:$B$356,2,0)</f>
        <v>89381-03491</v>
      </c>
    </row>
    <row r="158" spans="1:2" hidden="1" x14ac:dyDescent="0.25">
      <c r="A158" s="13" t="s">
        <v>1005</v>
      </c>
      <c r="B158">
        <f>VLOOKUP(A158,[4]Sheet1!$A$2:$B$356,2,0)</f>
        <v>8982851430</v>
      </c>
    </row>
    <row r="159" spans="1:2" hidden="1" x14ac:dyDescent="0.25">
      <c r="A159" s="13" t="s">
        <v>1047</v>
      </c>
      <c r="B159">
        <f>VLOOKUP(A159,[4]Sheet1!$A$2:$B$356,2,0)</f>
        <v>8982851440</v>
      </c>
    </row>
    <row r="160" spans="1:2" hidden="1" x14ac:dyDescent="0.25">
      <c r="A160" s="13" t="s">
        <v>1048</v>
      </c>
      <c r="B160">
        <f>VLOOKUP(A160,[4]Sheet1!$A$2:$B$356,2,0)</f>
        <v>8982597690</v>
      </c>
    </row>
    <row r="161" spans="1:2" hidden="1" x14ac:dyDescent="0.25">
      <c r="A161" s="13" t="s">
        <v>994</v>
      </c>
      <c r="B161">
        <f>VLOOKUP(A161,[4]Sheet1!$A$2:$B$356,2,0)</f>
        <v>8982591170</v>
      </c>
    </row>
    <row r="162" spans="1:2" hidden="1" x14ac:dyDescent="0.25">
      <c r="A162" s="13" t="s">
        <v>995</v>
      </c>
      <c r="B162">
        <f>VLOOKUP(A162,[4]Sheet1!$A$2:$B$356,2,0)</f>
        <v>8982391660</v>
      </c>
    </row>
    <row r="163" spans="1:2" x14ac:dyDescent="0.25">
      <c r="A163" s="13" t="s">
        <v>1001</v>
      </c>
      <c r="B163" t="e">
        <f>VLOOKUP(A163,[4]Sheet1!$A$2:$B$356,2,0)</f>
        <v>#N/A</v>
      </c>
    </row>
    <row r="164" spans="1:2" hidden="1" x14ac:dyDescent="0.25">
      <c r="A164" s="13" t="s">
        <v>960</v>
      </c>
      <c r="B164">
        <f>VLOOKUP(A164,[4]Sheet1!$A$2:$B$356,2,0)</f>
        <v>8975170170</v>
      </c>
    </row>
    <row r="165" spans="1:2" hidden="1" x14ac:dyDescent="0.25">
      <c r="A165" s="13" t="s">
        <v>972</v>
      </c>
      <c r="B165" t="str">
        <f>VLOOKUP(A165,[4]Sheet1!$A$2:$B$356,2,0)</f>
        <v>0098093800</v>
      </c>
    </row>
    <row r="166" spans="1:2" hidden="1" x14ac:dyDescent="0.25">
      <c r="A166" s="13" t="s">
        <v>971</v>
      </c>
      <c r="B166">
        <f>VLOOKUP(A166,[4]Sheet1!$A$2:$B$356,2,0)</f>
        <v>8975177101</v>
      </c>
    </row>
    <row r="167" spans="1:2" hidden="1" x14ac:dyDescent="0.25">
      <c r="A167" s="13" t="s">
        <v>966</v>
      </c>
      <c r="B167" t="str">
        <f>VLOOKUP(A167,[4]Sheet1!$A$2:$B$356,2,0)</f>
        <v>'0018052200</v>
      </c>
    </row>
    <row r="168" spans="1:2" hidden="1" x14ac:dyDescent="0.25">
      <c r="A168" s="13" t="s">
        <v>1004</v>
      </c>
      <c r="B168">
        <f>VLOOKUP(A168,[4]Sheet1!$A$2:$B$356,2,0)</f>
        <v>8975480410</v>
      </c>
    </row>
    <row r="169" spans="1:2" hidden="1" x14ac:dyDescent="0.25">
      <c r="A169" s="13" t="s">
        <v>977</v>
      </c>
      <c r="B169">
        <f>VLOOKUP(A169,[4]Sheet1!$A$2:$B$356,2,0)</f>
        <v>8975177091</v>
      </c>
    </row>
    <row r="170" spans="1:2" hidden="1" x14ac:dyDescent="0.25">
      <c r="A170" s="13" t="s">
        <v>1046</v>
      </c>
      <c r="B170">
        <f>VLOOKUP(A170,[4]Sheet1!$A$2:$B$356,2,0)</f>
        <v>8976639890</v>
      </c>
    </row>
    <row r="171" spans="1:2" hidden="1" x14ac:dyDescent="0.25">
      <c r="A171" s="13" t="s">
        <v>1046</v>
      </c>
      <c r="B171">
        <f>VLOOKUP(A171,[4]Sheet1!$A$2:$B$356,2,0)</f>
        <v>8976639890</v>
      </c>
    </row>
    <row r="172" spans="1:2" hidden="1" x14ac:dyDescent="0.25">
      <c r="A172" s="13" t="s">
        <v>1041</v>
      </c>
      <c r="B172">
        <f>VLOOKUP(A172,[4]Sheet1!$A$2:$B$356,2,0)</f>
        <v>8976639900</v>
      </c>
    </row>
    <row r="173" spans="1:2" hidden="1" x14ac:dyDescent="0.25">
      <c r="A173" s="13" t="s">
        <v>980</v>
      </c>
      <c r="B173">
        <f>VLOOKUP(A173,[4]Sheet1!$A$2:$B$356,2,0)</f>
        <v>8983530511</v>
      </c>
    </row>
    <row r="174" spans="1:2" hidden="1" x14ac:dyDescent="0.25">
      <c r="A174" s="13" t="s">
        <v>980</v>
      </c>
      <c r="B174">
        <f>VLOOKUP(A174,[4]Sheet1!$A$2:$B$356,2,0)</f>
        <v>8983530511</v>
      </c>
    </row>
    <row r="175" spans="1:2" hidden="1" x14ac:dyDescent="0.25">
      <c r="A175" s="13" t="s">
        <v>1006</v>
      </c>
      <c r="B175">
        <f>VLOOKUP(A175,[4]Sheet1!$A$2:$B$356,2,0)</f>
        <v>8983530501</v>
      </c>
    </row>
    <row r="176" spans="1:2" hidden="1" x14ac:dyDescent="0.25">
      <c r="A176" s="13" t="s">
        <v>992</v>
      </c>
      <c r="B176">
        <f>VLOOKUP(A176,[4]Sheet1!$A$2:$B$356,2,0)</f>
        <v>8982058730</v>
      </c>
    </row>
    <row r="177" spans="1:2" hidden="1" x14ac:dyDescent="0.25">
      <c r="A177" s="13" t="s">
        <v>1032</v>
      </c>
      <c r="B177">
        <f>VLOOKUP(A177,[4]Sheet1!$A$2:$B$356,2,0)</f>
        <v>8982058730</v>
      </c>
    </row>
    <row r="178" spans="1:2" hidden="1" x14ac:dyDescent="0.25">
      <c r="A178" s="13" t="s">
        <v>1037</v>
      </c>
      <c r="B178">
        <f>VLOOKUP(A178,[4]Sheet1!$A$2:$B$356,2,0)</f>
        <v>8983363550</v>
      </c>
    </row>
    <row r="179" spans="1:2" hidden="1" x14ac:dyDescent="0.25">
      <c r="A179" s="13" t="s">
        <v>956</v>
      </c>
      <c r="B179">
        <f>VLOOKUP(A179,[4]Sheet1!$A$2:$B$356,2,0)</f>
        <v>8983095300</v>
      </c>
    </row>
    <row r="180" spans="1:2" hidden="1" x14ac:dyDescent="0.25">
      <c r="A180" s="13" t="s">
        <v>984</v>
      </c>
      <c r="B180" t="str">
        <f>VLOOKUP(A180,[4]Sheet1!$A$2:$B$356,2,0)</f>
        <v>0018053200</v>
      </c>
    </row>
    <row r="181" spans="1:2" hidden="1" x14ac:dyDescent="0.25">
      <c r="A181" s="13" t="s">
        <v>1042</v>
      </c>
      <c r="B181">
        <f>VLOOKUP(A181,[4]Sheet1!$A$2:$B$356,2,0)</f>
        <v>8976560150</v>
      </c>
    </row>
    <row r="182" spans="1:2" hidden="1" x14ac:dyDescent="0.25">
      <c r="A182" s="13" t="s">
        <v>1029</v>
      </c>
      <c r="B182">
        <f>VLOOKUP(A182,[4]Sheet1!$A$2:$B$356,2,0)</f>
        <v>8976560180</v>
      </c>
    </row>
    <row r="183" spans="1:2" hidden="1" x14ac:dyDescent="0.25">
      <c r="A183" s="13" t="s">
        <v>954</v>
      </c>
      <c r="B183" t="str">
        <f>VLOOKUP(A183,[4]Sheet1!$A$2:$B$356,2,0)</f>
        <v>P001691350</v>
      </c>
    </row>
    <row r="184" spans="1:2" hidden="1" x14ac:dyDescent="0.25">
      <c r="A184" s="13" t="s">
        <v>955</v>
      </c>
      <c r="B184" t="str">
        <f>VLOOKUP(A184,[4]Sheet1!$A$2:$B$356,2,0)</f>
        <v>P001069600</v>
      </c>
    </row>
    <row r="185" spans="1:2" hidden="1" x14ac:dyDescent="0.25">
      <c r="A185" s="13" t="s">
        <v>1018</v>
      </c>
      <c r="B185" t="str">
        <f>VLOOKUP(A185,[4]Sheet1!$A$2:$B$356,2,0)</f>
        <v>P566002410</v>
      </c>
    </row>
    <row r="186" spans="1:2" hidden="1" x14ac:dyDescent="0.25">
      <c r="A186" s="13" t="s">
        <v>1010</v>
      </c>
      <c r="B186" t="str">
        <f>VLOOKUP(A186,[4]Sheet1!$A$2:$B$356,2,0)</f>
        <v>P566002400</v>
      </c>
    </row>
    <row r="187" spans="1:2" hidden="1" x14ac:dyDescent="0.25">
      <c r="A187" s="13" t="s">
        <v>1019</v>
      </c>
      <c r="B187">
        <f>VLOOKUP(A187,[4]Sheet1!$A$2:$B$356,2,0)</f>
        <v>8980009670</v>
      </c>
    </row>
    <row r="188" spans="1:2" hidden="1" x14ac:dyDescent="0.25">
      <c r="A188" s="13" t="s">
        <v>991</v>
      </c>
      <c r="B188">
        <f>VLOOKUP(A188,[4]Sheet1!$A$2:$B$356,2,0)</f>
        <v>8982173462</v>
      </c>
    </row>
    <row r="189" spans="1:2" hidden="1" x14ac:dyDescent="0.25">
      <c r="A189" s="13" t="s">
        <v>965</v>
      </c>
      <c r="B189">
        <f>VLOOKUP(A189,[4]Sheet1!$A$2:$B$356,2,0)</f>
        <v>8980009661</v>
      </c>
    </row>
    <row r="190" spans="1:2" hidden="1" x14ac:dyDescent="0.25">
      <c r="A190" s="13" t="s">
        <v>1021</v>
      </c>
      <c r="B190" t="str">
        <f>VLOOKUP(A190,[4]Sheet1!$A$2:$B$356,2,0)</f>
        <v>0018093600</v>
      </c>
    </row>
    <row r="191" spans="1:2" hidden="1" x14ac:dyDescent="0.25">
      <c r="A191" s="13" t="s">
        <v>1034</v>
      </c>
      <c r="B191" t="str">
        <f>VLOOKUP(A191,[4]Sheet1!$A$2:$B$356,2,0)</f>
        <v>P566002420</v>
      </c>
    </row>
    <row r="192" spans="1:2" hidden="1" x14ac:dyDescent="0.25">
      <c r="A192" s="13" t="s">
        <v>973</v>
      </c>
      <c r="B192" t="str">
        <f>VLOOKUP(A192,[4]Sheet1!$A$2:$B$356,2,0)</f>
        <v>P566002390</v>
      </c>
    </row>
    <row r="193" spans="1:2" hidden="1" x14ac:dyDescent="0.25">
      <c r="A193" s="13" t="s">
        <v>976</v>
      </c>
      <c r="B193">
        <f>VLOOKUP(A193,[4]Sheet1!$A$2:$B$356,2,0)</f>
        <v>8982356362</v>
      </c>
    </row>
    <row r="194" spans="1:2" hidden="1" x14ac:dyDescent="0.25">
      <c r="A194" s="13" t="s">
        <v>1211</v>
      </c>
      <c r="B194">
        <f>VLOOKUP(A194,[4]Sheet1!$A$2:$B$356,2,0)</f>
        <v>7474940060</v>
      </c>
    </row>
    <row r="195" spans="1:2" hidden="1" x14ac:dyDescent="0.25">
      <c r="A195" s="13" t="s">
        <v>1212</v>
      </c>
      <c r="B195" t="str">
        <f>VLOOKUP(A195,[4]Sheet1!$A$2:$B$356,2,0)</f>
        <v>P566002380</v>
      </c>
    </row>
    <row r="196" spans="1:2" hidden="1" x14ac:dyDescent="0.25">
      <c r="A196" s="13" t="s">
        <v>1216</v>
      </c>
      <c r="B196" t="str">
        <f>VLOOKUP(A196,[4]Sheet1!$A$2:$B$356,2,0)</f>
        <v>P566003040</v>
      </c>
    </row>
    <row r="197" spans="1:2" hidden="1" x14ac:dyDescent="0.25">
      <c r="A197" s="13" t="s">
        <v>1215</v>
      </c>
      <c r="B197" t="str">
        <f>VLOOKUP(A197,[4]Sheet1!$A$2:$B$356,2,0)</f>
        <v>'0018097300</v>
      </c>
    </row>
    <row r="198" spans="1:2" hidden="1" x14ac:dyDescent="0.25">
      <c r="A198" s="13" t="s">
        <v>1214</v>
      </c>
      <c r="B198" t="str">
        <f>VLOOKUP(A198,[4]Sheet1!$A$2:$B$356,2,0)</f>
        <v>P566003050</v>
      </c>
    </row>
    <row r="199" spans="1:2" hidden="1" x14ac:dyDescent="0.25">
      <c r="A199" s="13" t="s">
        <v>1218</v>
      </c>
      <c r="B199">
        <f>VLOOKUP(A199,[4]Sheet1!$A$2:$B$356,2,0)</f>
        <v>18122800</v>
      </c>
    </row>
    <row r="200" spans="1:2" hidden="1" x14ac:dyDescent="0.25">
      <c r="A200" s="13" t="s">
        <v>951</v>
      </c>
      <c r="B200" t="str">
        <f>VLOOKUP(A200,[4]Sheet1!$A$2:$B$356,2,0)</f>
        <v>12268-942LL</v>
      </c>
    </row>
    <row r="201" spans="1:2" hidden="1" x14ac:dyDescent="0.25">
      <c r="A201" s="13" t="s">
        <v>1097</v>
      </c>
      <c r="B201" t="str">
        <f>VLOOKUP(A201,[4]Sheet1!$A$2:$B$356,2,0)</f>
        <v>77213-0D170</v>
      </c>
    </row>
    <row r="202" spans="1:2" hidden="1" x14ac:dyDescent="0.25">
      <c r="A202" s="13" t="s">
        <v>1129</v>
      </c>
      <c r="B202" t="str">
        <f>VLOOKUP(A202,[4]Sheet1!$A$2:$B$356,2,0)</f>
        <v>77269-0D100</v>
      </c>
    </row>
    <row r="203" spans="1:2" hidden="1" x14ac:dyDescent="0.25">
      <c r="A203" s="13" t="s">
        <v>1092</v>
      </c>
      <c r="B203" t="str">
        <f>VLOOKUP(A203,[4]Sheet1!$A$2:$B$356,2,0)</f>
        <v>31434-0D030</v>
      </c>
    </row>
    <row r="204" spans="1:2" hidden="1" x14ac:dyDescent="0.25">
      <c r="A204" s="13" t="s">
        <v>1098</v>
      </c>
      <c r="B204" t="str">
        <f>VLOOKUP(A204,[4]Sheet1!$A$2:$B$356,2,0)</f>
        <v>77701-0D110</v>
      </c>
    </row>
    <row r="205" spans="1:2" hidden="1" x14ac:dyDescent="0.25">
      <c r="A205" s="13" t="s">
        <v>1113</v>
      </c>
      <c r="B205" t="str">
        <f>VLOOKUP(A205,[4]Sheet1!$A$2:$B$356,2,0)</f>
        <v>77028-0D160</v>
      </c>
    </row>
    <row r="206" spans="1:2" hidden="1" x14ac:dyDescent="0.25">
      <c r="A206" s="13" t="s">
        <v>1170</v>
      </c>
      <c r="B206" t="str">
        <f>VLOOKUP(A206,[4]Sheet1!$A$2:$B$356,2,0)</f>
        <v>44771-KK050</v>
      </c>
    </row>
    <row r="207" spans="1:2" hidden="1" x14ac:dyDescent="0.25">
      <c r="A207" s="13" t="s">
        <v>1156</v>
      </c>
      <c r="B207" t="str">
        <f>VLOOKUP(A207,[4]Sheet1!$A$2:$B$356,2,0)</f>
        <v>44771-KK060</v>
      </c>
    </row>
    <row r="208" spans="1:2" hidden="1" x14ac:dyDescent="0.25">
      <c r="A208" s="13" t="s">
        <v>1179</v>
      </c>
      <c r="B208" t="str">
        <f>VLOOKUP(A208,[4]Sheet1!$A$2:$B$356,2,0)</f>
        <v>44772-KK100</v>
      </c>
    </row>
    <row r="209" spans="1:2" hidden="1" x14ac:dyDescent="0.25">
      <c r="A209" s="13" t="s">
        <v>1171</v>
      </c>
      <c r="B209" t="str">
        <f>VLOOKUP(A209,[4]Sheet1!$A$2:$B$356,2,0)</f>
        <v>17431-0C110</v>
      </c>
    </row>
    <row r="210" spans="1:2" hidden="1" x14ac:dyDescent="0.25">
      <c r="A210" s="13" t="s">
        <v>1168</v>
      </c>
      <c r="B210" t="str">
        <f>VLOOKUP(A210,[4]Sheet1!$A$2:$B$356,2,0)</f>
        <v>17431-0C120</v>
      </c>
    </row>
    <row r="211" spans="1:2" hidden="1" x14ac:dyDescent="0.25">
      <c r="A211" s="13" t="s">
        <v>1169</v>
      </c>
      <c r="B211" t="str">
        <f>VLOOKUP(A211,[4]Sheet1!$A$2:$B$356,2,0)</f>
        <v>44771-KK020</v>
      </c>
    </row>
    <row r="212" spans="1:2" hidden="1" x14ac:dyDescent="0.25">
      <c r="A212" s="13" t="s">
        <v>1155</v>
      </c>
      <c r="B212" t="str">
        <f>VLOOKUP(A212,[4]Sheet1!$A$2:$B$356,2,0)</f>
        <v>44771-KK030</v>
      </c>
    </row>
    <row r="213" spans="1:2" hidden="1" x14ac:dyDescent="0.25">
      <c r="A213" s="13" t="s">
        <v>914</v>
      </c>
      <c r="B213" t="str">
        <f>VLOOKUP(A213,[4]Sheet1!$A$2:$B$356,2,0)</f>
        <v>16281-0C010</v>
      </c>
    </row>
    <row r="214" spans="1:2" hidden="1" x14ac:dyDescent="0.25">
      <c r="A214" s="13" t="s">
        <v>913</v>
      </c>
      <c r="B214" t="str">
        <f>VLOOKUP(A214,[4]Sheet1!$A$2:$B$356,2,0)</f>
        <v>16282-0C010</v>
      </c>
    </row>
    <row r="215" spans="1:2" hidden="1" x14ac:dyDescent="0.25">
      <c r="A215" s="13" t="s">
        <v>1176</v>
      </c>
      <c r="B215" t="str">
        <f>VLOOKUP(A215,[4]Sheet1!$A$2:$B$356,2,0)</f>
        <v>17341-0C070</v>
      </c>
    </row>
    <row r="216" spans="1:2" hidden="1" x14ac:dyDescent="0.25">
      <c r="A216" s="13" t="s">
        <v>1180</v>
      </c>
      <c r="B216" t="str">
        <f>VLOOKUP(A216,[4]Sheet1!$A$2:$B$356,2,0)</f>
        <v>44772-KK110</v>
      </c>
    </row>
    <row r="217" spans="1:2" hidden="1" x14ac:dyDescent="0.25">
      <c r="A217" s="13" t="s">
        <v>1154</v>
      </c>
      <c r="B217" t="str">
        <f>VLOOKUP(A217,[4]Sheet1!$A$2:$B$356,2,0)</f>
        <v>33019-0K010</v>
      </c>
    </row>
    <row r="218" spans="1:2" hidden="1" x14ac:dyDescent="0.25">
      <c r="A218" s="13" t="s">
        <v>1153</v>
      </c>
      <c r="B218" t="str">
        <f>VLOOKUP(A218,[4]Sheet1!$A$2:$B$356,2,0)</f>
        <v>23271-0C140</v>
      </c>
    </row>
    <row r="219" spans="1:2" hidden="1" x14ac:dyDescent="0.25">
      <c r="A219" s="13" t="s">
        <v>1143</v>
      </c>
      <c r="B219" t="str">
        <f>VLOOKUP(A219,[4]Sheet1!$A$2:$B$356,2,0)</f>
        <v>33019-0K110</v>
      </c>
    </row>
    <row r="220" spans="1:2" hidden="1" x14ac:dyDescent="0.25">
      <c r="A220" s="13" t="s">
        <v>1159</v>
      </c>
      <c r="B220" t="str">
        <f>VLOOKUP(A220,[4]Sheet1!$A$2:$B$356,2,0)</f>
        <v>44774-KK050</v>
      </c>
    </row>
    <row r="221" spans="1:2" hidden="1" x14ac:dyDescent="0.25">
      <c r="A221" s="13" t="s">
        <v>1166</v>
      </c>
      <c r="B221" t="str">
        <f>VLOOKUP(A221,[4]Sheet1!$A$2:$B$356,2,0)</f>
        <v>17342-0C070</v>
      </c>
    </row>
    <row r="222" spans="1:2" hidden="1" x14ac:dyDescent="0.25">
      <c r="A222" s="13" t="s">
        <v>1158</v>
      </c>
      <c r="B222" t="str">
        <f>VLOOKUP(A222,[4]Sheet1!$A$2:$B$356,2,0)</f>
        <v>44772-KK090</v>
      </c>
    </row>
    <row r="223" spans="1:2" hidden="1" x14ac:dyDescent="0.25">
      <c r="A223" s="13" t="s">
        <v>903</v>
      </c>
      <c r="B223" t="str">
        <f>VLOOKUP(A223,[4]Sheet1!$A$2:$B$356,2,0)</f>
        <v>33019-0K070</v>
      </c>
    </row>
    <row r="224" spans="1:2" hidden="1" x14ac:dyDescent="0.25">
      <c r="A224" s="13" t="s">
        <v>1160</v>
      </c>
      <c r="B224" t="str">
        <f>VLOOKUP(A224,[4]Sheet1!$A$2:$B$356,2,0)</f>
        <v>44774-KK090</v>
      </c>
    </row>
    <row r="225" spans="1:2" hidden="1" x14ac:dyDescent="0.25">
      <c r="A225" s="13" t="s">
        <v>1177</v>
      </c>
      <c r="B225" t="str">
        <f>VLOOKUP(A225,[4]Sheet1!$A$2:$B$356,2,0)</f>
        <v>17344-0C070</v>
      </c>
    </row>
    <row r="226" spans="1:2" hidden="1" x14ac:dyDescent="0.25">
      <c r="A226" s="13" t="s">
        <v>1173</v>
      </c>
      <c r="B226" t="str">
        <f>VLOOKUP(A226,[4]Sheet1!$A$2:$B$356,2,0)</f>
        <v>44772-KK130</v>
      </c>
    </row>
    <row r="227" spans="1:2" hidden="1" x14ac:dyDescent="0.25">
      <c r="A227" s="13" t="s">
        <v>1178</v>
      </c>
      <c r="B227" t="str">
        <f>VLOOKUP(A227,[4]Sheet1!$A$2:$B$356,2,0)</f>
        <v>33019-0K120</v>
      </c>
    </row>
    <row r="228" spans="1:2" hidden="1" x14ac:dyDescent="0.25">
      <c r="A228" s="13" t="s">
        <v>952</v>
      </c>
      <c r="B228" t="str">
        <f>VLOOKUP(A228,[4]Sheet1!$A$2:$B$356,2,0)</f>
        <v>17341-0C160</v>
      </c>
    </row>
    <row r="229" spans="1:2" hidden="1" x14ac:dyDescent="0.25">
      <c r="A229" s="13" t="s">
        <v>1152</v>
      </c>
      <c r="B229" t="str">
        <f>VLOOKUP(A229,[4]Sheet1!$A$2:$B$356,2,0)</f>
        <v>17343-0C070</v>
      </c>
    </row>
    <row r="230" spans="1:2" hidden="1" x14ac:dyDescent="0.25">
      <c r="A230" s="13" t="s">
        <v>1164</v>
      </c>
      <c r="B230" t="str">
        <f>VLOOKUP(A230,[4]Sheet1!$A$2:$B$356,2,0)</f>
        <v>77249-KK010</v>
      </c>
    </row>
    <row r="231" spans="1:2" hidden="1" x14ac:dyDescent="0.25">
      <c r="A231" s="13" t="s">
        <v>1172</v>
      </c>
      <c r="B231" t="str">
        <f>VLOOKUP(A231,[4]Sheet1!$A$2:$B$356,2,0)</f>
        <v>44772-KK070</v>
      </c>
    </row>
    <row r="232" spans="1:2" hidden="1" x14ac:dyDescent="0.25">
      <c r="A232" s="13" t="s">
        <v>1157</v>
      </c>
      <c r="B232" t="str">
        <f>VLOOKUP(A232,[4]Sheet1!$A$2:$B$356,2,0)</f>
        <v>44772-KK010</v>
      </c>
    </row>
    <row r="233" spans="1:2" hidden="1" x14ac:dyDescent="0.25">
      <c r="A233" s="13" t="s">
        <v>1150</v>
      </c>
      <c r="B233" t="str">
        <f>VLOOKUP(A233,[4]Sheet1!$A$2:$B$356,2,0)</f>
        <v>16261-0L091</v>
      </c>
    </row>
    <row r="234" spans="1:2" hidden="1" x14ac:dyDescent="0.25">
      <c r="A234" s="13" t="s">
        <v>1165</v>
      </c>
      <c r="B234" t="str">
        <f>VLOOKUP(A234,[4]Sheet1!$A$2:$B$356,2,0)</f>
        <v>16571-0P300</v>
      </c>
    </row>
    <row r="235" spans="1:2" hidden="1" x14ac:dyDescent="0.25">
      <c r="A235" s="13" t="s">
        <v>1151</v>
      </c>
      <c r="B235" t="str">
        <f>VLOOKUP(A235,[4]Sheet1!$A$2:$B$356,2,0)</f>
        <v>16572-0P300</v>
      </c>
    </row>
    <row r="236" spans="1:2" hidden="1" x14ac:dyDescent="0.25">
      <c r="A236" s="13" t="s">
        <v>941</v>
      </c>
      <c r="B236" t="str">
        <f>VLOOKUP(A236,[4]Sheet1!$A$2:$B$356,2,0)</f>
        <v>17341-0C160</v>
      </c>
    </row>
    <row r="237" spans="1:2" hidden="1" x14ac:dyDescent="0.25">
      <c r="A237" s="13" t="s">
        <v>931</v>
      </c>
      <c r="B237" t="str">
        <f>VLOOKUP(A237,[4]Sheet1!$A$2:$B$356,2,0)</f>
        <v>23273-0C130(1)</v>
      </c>
    </row>
    <row r="238" spans="1:2" hidden="1" x14ac:dyDescent="0.25">
      <c r="A238" s="13" t="s">
        <v>931</v>
      </c>
      <c r="B238" t="str">
        <f>VLOOKUP(A238,[4]Sheet1!$A$2:$B$356,2,0)</f>
        <v>23273-0C130(1)</v>
      </c>
    </row>
    <row r="239" spans="1:2" hidden="1" x14ac:dyDescent="0.25">
      <c r="A239" s="13" t="s">
        <v>917</v>
      </c>
      <c r="B239" t="str">
        <f>VLOOKUP(A239,[4]Sheet1!$A$2:$B$356,2,0)</f>
        <v>23273-0C130(2)</v>
      </c>
    </row>
    <row r="240" spans="1:2" hidden="1" x14ac:dyDescent="0.25">
      <c r="A240" s="13" t="s">
        <v>1167</v>
      </c>
      <c r="B240" t="str">
        <f>VLOOKUP(A240,[4]Sheet1!$A$2:$B$356,2,0)</f>
        <v>23271-0C120</v>
      </c>
    </row>
    <row r="241" spans="1:2" hidden="1" x14ac:dyDescent="0.25">
      <c r="A241" s="13" t="s">
        <v>1142</v>
      </c>
      <c r="B241" t="str">
        <f>VLOOKUP(A241,[4]Sheet1!$A$2:$B$356,2,0)</f>
        <v>23829-0L010</v>
      </c>
    </row>
    <row r="242" spans="1:2" hidden="1" x14ac:dyDescent="0.25">
      <c r="A242" s="13" t="s">
        <v>1131</v>
      </c>
      <c r="B242" t="str">
        <f>VLOOKUP(A242,[4]Sheet1!$A$2:$B$356,2,0)</f>
        <v>44774-KK020</v>
      </c>
    </row>
    <row r="243" spans="1:2" hidden="1" x14ac:dyDescent="0.25">
      <c r="A243" s="13" t="s">
        <v>1161</v>
      </c>
      <c r="B243" t="str">
        <f>VLOOKUP(A243,[4]Sheet1!$A$2:$B$356,2,0)</f>
        <v>16571-0C140</v>
      </c>
    </row>
    <row r="244" spans="1:2" hidden="1" x14ac:dyDescent="0.25">
      <c r="A244" s="13" t="s">
        <v>1183</v>
      </c>
      <c r="B244" t="str">
        <f>VLOOKUP(A244,[4]Sheet1!$A$2:$B$356,2,0)</f>
        <v>16571-0L100</v>
      </c>
    </row>
    <row r="245" spans="1:2" hidden="1" x14ac:dyDescent="0.25">
      <c r="A245" s="13" t="s">
        <v>1184</v>
      </c>
      <c r="B245" t="str">
        <f>VLOOKUP(A245,[4]Sheet1!$A$2:$B$356,2,0)</f>
        <v>16571-0L110</v>
      </c>
    </row>
    <row r="246" spans="1:2" hidden="1" x14ac:dyDescent="0.25">
      <c r="A246" s="13" t="s">
        <v>1162</v>
      </c>
      <c r="B246" t="str">
        <f>VLOOKUP(A246,[4]Sheet1!$A$2:$B$356,2,0)</f>
        <v>16572-0C140</v>
      </c>
    </row>
    <row r="247" spans="1:2" hidden="1" x14ac:dyDescent="0.25">
      <c r="A247" s="13" t="s">
        <v>1185</v>
      </c>
      <c r="B247" t="str">
        <f>VLOOKUP(A247,[4]Sheet1!$A$2:$B$356,2,0)</f>
        <v>16572-0L100</v>
      </c>
    </row>
    <row r="248" spans="1:2" hidden="1" x14ac:dyDescent="0.25">
      <c r="A248" s="13" t="s">
        <v>1132</v>
      </c>
      <c r="B248" t="str">
        <f>VLOOKUP(A248,[4]Sheet1!$A$2:$B$356,2,0)</f>
        <v>16572-0L110</v>
      </c>
    </row>
    <row r="249" spans="1:2" hidden="1" x14ac:dyDescent="0.25">
      <c r="A249" s="13" t="s">
        <v>942</v>
      </c>
      <c r="B249" t="str">
        <f>VLOOKUP(A249,[4]Sheet1!$A$2:$B$356,2,0)</f>
        <v>17341-0C170</v>
      </c>
    </row>
    <row r="250" spans="1:2" hidden="1" x14ac:dyDescent="0.25">
      <c r="A250" s="13" t="s">
        <v>1133</v>
      </c>
      <c r="B250" t="str">
        <f>VLOOKUP(A250,[4]Sheet1!$A$2:$B$356,2,0)</f>
        <v>23827-0C050</v>
      </c>
    </row>
    <row r="251" spans="1:2" hidden="1" x14ac:dyDescent="0.25">
      <c r="A251" s="13" t="s">
        <v>1186</v>
      </c>
      <c r="B251" t="str">
        <f>VLOOKUP(A251,[4]Sheet1!$A$2:$B$356,2,0)</f>
        <v>23829-0P190</v>
      </c>
    </row>
    <row r="252" spans="1:2" hidden="1" x14ac:dyDescent="0.25">
      <c r="A252" s="13" t="s">
        <v>901</v>
      </c>
      <c r="B252" t="str">
        <f>VLOOKUP(A252,[4]Sheet1!$A$2:$B$356,2,0)</f>
        <v>44774-KK070</v>
      </c>
    </row>
    <row r="253" spans="1:2" hidden="1" x14ac:dyDescent="0.25">
      <c r="A253" s="13" t="s">
        <v>925</v>
      </c>
      <c r="B253" t="str">
        <f>VLOOKUP(A253,[4]Sheet1!$A$2:$B$356,2,0)</f>
        <v>44773-KK030</v>
      </c>
    </row>
    <row r="254" spans="1:2" hidden="1" x14ac:dyDescent="0.25">
      <c r="A254" s="13" t="s">
        <v>900</v>
      </c>
      <c r="B254" t="str">
        <f>VLOOKUP(A254,[4]Sheet1!$A$2:$B$356,2,0)</f>
        <v>17342-0C100</v>
      </c>
    </row>
    <row r="255" spans="1:2" hidden="1" x14ac:dyDescent="0.25">
      <c r="A255" s="13" t="s">
        <v>916</v>
      </c>
      <c r="B255" t="str">
        <f>VLOOKUP(A255,[4]Sheet1!$A$2:$B$356,2,0)</f>
        <v>44772-KK040</v>
      </c>
    </row>
    <row r="256" spans="1:2" hidden="1" x14ac:dyDescent="0.25">
      <c r="A256" s="13" t="s">
        <v>894</v>
      </c>
      <c r="B256" t="str">
        <f>VLOOKUP(A256,[4]Sheet1!$A$2:$B$356,2,0)</f>
        <v>44772-KK020</v>
      </c>
    </row>
    <row r="257" spans="1:2" hidden="1" x14ac:dyDescent="0.25">
      <c r="A257" s="13" t="s">
        <v>915</v>
      </c>
      <c r="B257" t="str">
        <f>VLOOKUP(A257,[4]Sheet1!$A$2:$B$356,2,0)</f>
        <v>44772-KK030</v>
      </c>
    </row>
    <row r="258" spans="1:2" hidden="1" x14ac:dyDescent="0.25">
      <c r="A258" s="13" t="s">
        <v>927</v>
      </c>
      <c r="B258" t="str">
        <f>VLOOKUP(A258,[4]Sheet1!$A$2:$B$356,2,0)</f>
        <v>17342-0C090</v>
      </c>
    </row>
    <row r="259" spans="1:2" hidden="1" x14ac:dyDescent="0.25">
      <c r="A259" s="13" t="s">
        <v>902</v>
      </c>
      <c r="B259" t="str">
        <f>VLOOKUP(A259,[4]Sheet1!$A$2:$B$356,2,0)</f>
        <v>44771-KK070</v>
      </c>
    </row>
    <row r="260" spans="1:2" hidden="1" x14ac:dyDescent="0.25">
      <c r="A260" s="13" t="s">
        <v>928</v>
      </c>
      <c r="B260" t="str">
        <f>VLOOKUP(A260,[4]Sheet1!$A$2:$B$356,2,0)</f>
        <v>44772-KK020</v>
      </c>
    </row>
    <row r="261" spans="1:2" hidden="1" x14ac:dyDescent="0.25">
      <c r="A261" s="13" t="s">
        <v>929</v>
      </c>
      <c r="B261" t="str">
        <f>VLOOKUP(A261,[4]Sheet1!$A$2:$B$356,2,0)</f>
        <v>44772-KK030</v>
      </c>
    </row>
    <row r="262" spans="1:2" hidden="1" x14ac:dyDescent="0.25">
      <c r="A262" s="13" t="s">
        <v>921</v>
      </c>
      <c r="B262" t="str">
        <f>VLOOKUP(A262,[4]Sheet1!$A$2:$B$356,2,0)</f>
        <v>44774-KK040</v>
      </c>
    </row>
    <row r="263" spans="1:2" hidden="1" x14ac:dyDescent="0.25">
      <c r="A263" s="13" t="s">
        <v>912</v>
      </c>
      <c r="B263" t="str">
        <f>VLOOKUP(A263,[4]Sheet1!$A$2:$B$356,2,0)</f>
        <v>44773-KK030</v>
      </c>
    </row>
    <row r="264" spans="1:2" hidden="1" x14ac:dyDescent="0.25">
      <c r="A264" s="13" t="s">
        <v>895</v>
      </c>
      <c r="B264" t="str">
        <f>VLOOKUP(A264,[4]Sheet1!$A$2:$B$356,2,0)</f>
        <v>44774-KK080</v>
      </c>
    </row>
    <row r="265" spans="1:2" hidden="1" x14ac:dyDescent="0.25">
      <c r="A265" s="13" t="s">
        <v>896</v>
      </c>
      <c r="B265" t="str">
        <f>VLOOKUP(A265,[4]Sheet1!$A$2:$B$356,2,0)</f>
        <v>44773-KK030</v>
      </c>
    </row>
    <row r="266" spans="1:2" hidden="1" x14ac:dyDescent="0.25">
      <c r="A266" s="13" t="s">
        <v>1188</v>
      </c>
      <c r="B266" t="str">
        <f>VLOOKUP(A266,[4]Sheet1!$A$2:$B$356,2,0)</f>
        <v>44772-KK080</v>
      </c>
    </row>
    <row r="267" spans="1:2" hidden="1" x14ac:dyDescent="0.25">
      <c r="A267" s="13" t="s">
        <v>1163</v>
      </c>
      <c r="B267" t="str">
        <f>VLOOKUP(A267,[4]Sheet1!$A$2:$B$356,2,0)</f>
        <v>44772-KK120</v>
      </c>
    </row>
    <row r="268" spans="1:2" hidden="1" x14ac:dyDescent="0.25">
      <c r="A268" s="13" t="s">
        <v>1189</v>
      </c>
      <c r="B268" t="str">
        <f>VLOOKUP(A268,[4]Sheet1!$A$2:$B$356,2,0)</f>
        <v>44773-KK020</v>
      </c>
    </row>
    <row r="269" spans="1:2" hidden="1" x14ac:dyDescent="0.25">
      <c r="A269" s="13" t="s">
        <v>1134</v>
      </c>
      <c r="B269" t="str">
        <f>VLOOKUP(A269,[4]Sheet1!$A$2:$B$356,2,0)</f>
        <v>44774-0K020</v>
      </c>
    </row>
    <row r="270" spans="1:2" hidden="1" x14ac:dyDescent="0.25">
      <c r="A270" s="13" t="s">
        <v>1144</v>
      </c>
      <c r="B270" t="str">
        <f>VLOOKUP(A270,[4]Sheet1!$A$2:$B$356,2,0)</f>
        <v>44774-KK010</v>
      </c>
    </row>
    <row r="271" spans="1:2" hidden="1" x14ac:dyDescent="0.25">
      <c r="A271" s="13" t="s">
        <v>1190</v>
      </c>
      <c r="B271" t="str">
        <f>VLOOKUP(A271,[4]Sheet1!$A$2:$B$356,2,0)</f>
        <v>44776-KK020</v>
      </c>
    </row>
    <row r="272" spans="1:2" hidden="1" x14ac:dyDescent="0.25">
      <c r="A272" s="13" t="s">
        <v>1181</v>
      </c>
      <c r="B272" t="str">
        <f>VLOOKUP(A272,[4]Sheet1!$A$2:$B$356,2,0)</f>
        <v>16261-0Y030</v>
      </c>
    </row>
    <row r="273" spans="1:2" hidden="1" x14ac:dyDescent="0.25">
      <c r="A273" s="13" t="s">
        <v>1141</v>
      </c>
      <c r="B273" t="str">
        <f>VLOOKUP(A273,[4]Sheet1!$A$2:$B$356,2,0)</f>
        <v>16264-0Y080</v>
      </c>
    </row>
    <row r="274" spans="1:2" hidden="1" x14ac:dyDescent="0.25">
      <c r="A274" s="13" t="s">
        <v>1182</v>
      </c>
      <c r="B274" t="str">
        <f>VLOOKUP(A274,[4]Sheet1!$A$2:$B$356,2,0)</f>
        <v>16267-0Y030</v>
      </c>
    </row>
    <row r="275" spans="1:2" hidden="1" x14ac:dyDescent="0.25">
      <c r="A275" s="13" t="s">
        <v>1085</v>
      </c>
      <c r="B275" t="str">
        <f>VLOOKUP(A275,[4]Sheet1!$A$2:$B$356,2,0)</f>
        <v>GH319-46840-A</v>
      </c>
    </row>
    <row r="276" spans="1:2" hidden="1" x14ac:dyDescent="0.25">
      <c r="A276" s="13" t="s">
        <v>1085</v>
      </c>
      <c r="B276" t="str">
        <f>VLOOKUP(A276,[4]Sheet1!$A$2:$B$356,2,0)</f>
        <v>GH319-46840-A</v>
      </c>
    </row>
    <row r="277" spans="1:2" hidden="1" x14ac:dyDescent="0.25">
      <c r="A277" s="13" t="s">
        <v>1085</v>
      </c>
      <c r="B277" t="str">
        <f>VLOOKUP(A277,[4]Sheet1!$A$2:$B$356,2,0)</f>
        <v>GH319-46840-A</v>
      </c>
    </row>
    <row r="278" spans="1:2" hidden="1" x14ac:dyDescent="0.25">
      <c r="A278" s="13" t="s">
        <v>1089</v>
      </c>
      <c r="B278" t="str">
        <f>VLOOKUP(A278,[4]Sheet1!$A$2:$B$356,2,0)</f>
        <v>GH319-47110</v>
      </c>
    </row>
    <row r="279" spans="1:2" hidden="1" x14ac:dyDescent="0.25">
      <c r="A279" s="13" t="s">
        <v>911</v>
      </c>
      <c r="B279" t="str">
        <f>VLOOKUP(A279,[4]Sheet1!$A$2:$B$356,2,0)</f>
        <v>23274-0C100</v>
      </c>
    </row>
    <row r="280" spans="1:2" hidden="1" x14ac:dyDescent="0.25">
      <c r="A280" s="13" t="s">
        <v>911</v>
      </c>
      <c r="B280" t="str">
        <f>VLOOKUP(A280,[4]Sheet1!$A$2:$B$356,2,0)</f>
        <v>23274-0C100</v>
      </c>
    </row>
    <row r="281" spans="1:2" hidden="1" x14ac:dyDescent="0.25">
      <c r="A281" s="13" t="s">
        <v>918</v>
      </c>
      <c r="B281" t="str">
        <f>VLOOKUP(A281,[4]Sheet1!$A$2:$B$356,2,0)</f>
        <v>77259-KK060(1)</v>
      </c>
    </row>
    <row r="282" spans="1:2" hidden="1" x14ac:dyDescent="0.25">
      <c r="A282" s="13" t="s">
        <v>905</v>
      </c>
      <c r="B282" t="str">
        <f>VLOOKUP(A282,[4]Sheet1!$A$2:$B$356,2,0)</f>
        <v>77259-KK060(2)</v>
      </c>
    </row>
    <row r="283" spans="1:2" hidden="1" x14ac:dyDescent="0.25">
      <c r="A283" s="13" t="s">
        <v>893</v>
      </c>
      <c r="B283" t="str">
        <f>VLOOKUP(A283,[4]Sheet1!$A$2:$B$356,2,0)</f>
        <v>77259-KK040</v>
      </c>
    </row>
    <row r="284" spans="1:2" hidden="1" x14ac:dyDescent="0.25">
      <c r="A284" s="13" t="s">
        <v>926</v>
      </c>
      <c r="B284" t="str">
        <f>VLOOKUP(A284,[4]Sheet1!$A$2:$B$356,2,0)</f>
        <v>23274-0L060</v>
      </c>
    </row>
    <row r="285" spans="1:2" hidden="1" x14ac:dyDescent="0.25">
      <c r="A285" s="13" t="s">
        <v>926</v>
      </c>
      <c r="B285" t="str">
        <f>VLOOKUP(A285,[4]Sheet1!$A$2:$B$356,2,0)</f>
        <v>23274-0L060</v>
      </c>
    </row>
    <row r="286" spans="1:2" hidden="1" x14ac:dyDescent="0.25">
      <c r="A286" s="13" t="s">
        <v>1191</v>
      </c>
      <c r="B286" t="str">
        <f>VLOOKUP(A286,[4]Sheet1!$A$2:$B$356,2,0)</f>
        <v>77249-KK020</v>
      </c>
    </row>
    <row r="287" spans="1:2" hidden="1" x14ac:dyDescent="0.25">
      <c r="A287" s="13" t="s">
        <v>1187</v>
      </c>
      <c r="B287" t="str">
        <f>VLOOKUP(A287,[4]Sheet1!$A$2:$B$356,2,0)</f>
        <v>33019-0K180</v>
      </c>
    </row>
    <row r="288" spans="1:2" hidden="1" x14ac:dyDescent="0.25">
      <c r="A288" s="13" t="s">
        <v>910</v>
      </c>
      <c r="B288" t="str">
        <f>VLOOKUP(A288,[4]Sheet1!$A$2:$B$356,2,0)</f>
        <v>16260-0Y080-1</v>
      </c>
    </row>
    <row r="289" spans="1:2" hidden="1" x14ac:dyDescent="0.25">
      <c r="A289" s="13" t="s">
        <v>932</v>
      </c>
      <c r="B289" t="str">
        <f>VLOOKUP(A289,[4]Sheet1!$A$2:$B$356,2,0)</f>
        <v>16260-0Y080-2</v>
      </c>
    </row>
    <row r="290" spans="1:2" hidden="1" x14ac:dyDescent="0.25">
      <c r="A290" s="13" t="s">
        <v>933</v>
      </c>
      <c r="B290" t="str">
        <f>VLOOKUP(A290,[4]Sheet1!$A$2:$B$356,2,0)</f>
        <v>16260-0Y080-3</v>
      </c>
    </row>
    <row r="291" spans="1:2" hidden="1" x14ac:dyDescent="0.25">
      <c r="A291" s="13" t="s">
        <v>934</v>
      </c>
      <c r="B291" t="str">
        <f>VLOOKUP(A291,[4]Sheet1!$A$2:$B$356,2,0)</f>
        <v>16260-0Y080-4</v>
      </c>
    </row>
    <row r="292" spans="1:2" hidden="1" x14ac:dyDescent="0.25">
      <c r="A292" s="13" t="s">
        <v>923</v>
      </c>
      <c r="B292" t="str">
        <f>VLOOKUP(A292,[4]Sheet1!$A$2:$B$356,2,0)</f>
        <v>16571-0Y280</v>
      </c>
    </row>
    <row r="293" spans="1:2" hidden="1" x14ac:dyDescent="0.25">
      <c r="A293" s="13" t="s">
        <v>923</v>
      </c>
      <c r="B293" t="str">
        <f>VLOOKUP(A293,[4]Sheet1!$A$2:$B$356,2,0)</f>
        <v>16571-0Y280</v>
      </c>
    </row>
    <row r="294" spans="1:2" hidden="1" x14ac:dyDescent="0.25">
      <c r="A294" s="13" t="s">
        <v>898</v>
      </c>
      <c r="B294" t="str">
        <f>VLOOKUP(A294,[4]Sheet1!$A$2:$B$356,2,0)</f>
        <v>17341-0V010</v>
      </c>
    </row>
    <row r="295" spans="1:2" hidden="1" x14ac:dyDescent="0.25">
      <c r="A295" s="13" t="s">
        <v>899</v>
      </c>
      <c r="B295" t="str">
        <f>VLOOKUP(A295,[4]Sheet1!$A$2:$B$356,2,0)</f>
        <v>17342-0Y010</v>
      </c>
    </row>
    <row r="296" spans="1:2" hidden="1" x14ac:dyDescent="0.25">
      <c r="A296" s="13" t="s">
        <v>909</v>
      </c>
      <c r="B296" t="str">
        <f>VLOOKUP(A296,[4]Sheet1!$A$2:$B$356,2,0)</f>
        <v>12262-0Y090</v>
      </c>
    </row>
    <row r="297" spans="1:2" hidden="1" x14ac:dyDescent="0.25">
      <c r="A297" s="13" t="s">
        <v>930</v>
      </c>
      <c r="B297" t="str">
        <f>VLOOKUP(A297,[4]Sheet1!$A$2:$B$356,2,0)</f>
        <v>16281-0Y030</v>
      </c>
    </row>
    <row r="298" spans="1:2" hidden="1" x14ac:dyDescent="0.25">
      <c r="A298" s="13" t="s">
        <v>897</v>
      </c>
      <c r="B298" t="str">
        <f>VLOOKUP(A298,[4]Sheet1!$A$2:$B$356,2,0)</f>
        <v>23826-0Y040</v>
      </c>
    </row>
    <row r="299" spans="1:2" hidden="1" x14ac:dyDescent="0.25">
      <c r="A299" s="13" t="s">
        <v>924</v>
      </c>
      <c r="B299" t="str">
        <f>VLOOKUP(A299,[4]Sheet1!$A$2:$B$356,2,0)</f>
        <v>31343-0D120</v>
      </c>
    </row>
    <row r="300" spans="1:2" hidden="1" x14ac:dyDescent="0.25">
      <c r="A300" s="13" t="s">
        <v>922</v>
      </c>
      <c r="B300" t="str">
        <f>VLOOKUP(A300,[4]Sheet1!$A$2:$B$356,2,0)</f>
        <v>16264-0L070</v>
      </c>
    </row>
    <row r="301" spans="1:2" hidden="1" x14ac:dyDescent="0.25">
      <c r="A301" s="13" t="s">
        <v>907</v>
      </c>
      <c r="B301" t="str">
        <f>VLOOKUP(A301,[4]Sheet1!$A$2:$B$356,2,0)</f>
        <v>23273-0L200 (1)</v>
      </c>
    </row>
    <row r="302" spans="1:2" hidden="1" x14ac:dyDescent="0.25">
      <c r="A302" s="13" t="s">
        <v>907</v>
      </c>
      <c r="B302" t="str">
        <f>VLOOKUP(A302,[4]Sheet1!$A$2:$B$356,2,0)</f>
        <v>23273-0L200 (1)</v>
      </c>
    </row>
    <row r="303" spans="1:2" hidden="1" x14ac:dyDescent="0.25">
      <c r="A303" s="13" t="s">
        <v>906</v>
      </c>
      <c r="B303" t="str">
        <f>VLOOKUP(A303,[4]Sheet1!$A$2:$B$356,2,0)</f>
        <v>23273-0L200 (2)</v>
      </c>
    </row>
    <row r="304" spans="1:2" hidden="1" x14ac:dyDescent="0.25">
      <c r="A304" s="13" t="s">
        <v>906</v>
      </c>
      <c r="B304" t="str">
        <f>VLOOKUP(A304,[4]Sheet1!$A$2:$B$356,2,0)</f>
        <v>23273-0L200 (2)</v>
      </c>
    </row>
    <row r="305" spans="1:2" hidden="1" x14ac:dyDescent="0.25">
      <c r="A305" s="13" t="s">
        <v>908</v>
      </c>
      <c r="B305" t="str">
        <f>VLOOKUP(A305,[4]Sheet1!$A$2:$B$356,2,0)</f>
        <v>23273-0L120</v>
      </c>
    </row>
    <row r="306" spans="1:2" hidden="1" x14ac:dyDescent="0.25">
      <c r="A306" s="13" t="s">
        <v>908</v>
      </c>
      <c r="B306" t="str">
        <f>VLOOKUP(A306,[4]Sheet1!$A$2:$B$356,2,0)</f>
        <v>23273-0L120</v>
      </c>
    </row>
    <row r="307" spans="1:2" hidden="1" x14ac:dyDescent="0.25">
      <c r="A307" s="13" t="s">
        <v>904</v>
      </c>
      <c r="B307" t="str">
        <f>VLOOKUP(A307,[4]Sheet1!$A$2:$B$356,2,0)</f>
        <v>23827-0C060</v>
      </c>
    </row>
    <row r="308" spans="1:2" hidden="1" x14ac:dyDescent="0.25">
      <c r="A308" s="13" t="s">
        <v>920</v>
      </c>
      <c r="B308" t="str">
        <f>VLOOKUP(A308,[4]Sheet1!$A$2:$B$356,2,0)</f>
        <v>17341-0Y080</v>
      </c>
    </row>
    <row r="309" spans="1:2" hidden="1" x14ac:dyDescent="0.25">
      <c r="A309" s="13" t="s">
        <v>1088</v>
      </c>
      <c r="B309" t="str">
        <f>VLOOKUP(A309,[4]Sheet1!$A$2:$B$356,2,0)</f>
        <v>17341-0Y081</v>
      </c>
    </row>
    <row r="310" spans="1:2" hidden="1" x14ac:dyDescent="0.25">
      <c r="A310" s="13" t="s">
        <v>1081</v>
      </c>
      <c r="B310" t="str">
        <f>VLOOKUP(A310,[4]Sheet1!$A$2:$B$356,2,0)</f>
        <v>17343-0Y021</v>
      </c>
    </row>
    <row r="311" spans="1:2" hidden="1" x14ac:dyDescent="0.25">
      <c r="A311" s="13" t="s">
        <v>938</v>
      </c>
      <c r="B311" t="str">
        <f>VLOOKUP(A311,[4]Sheet1!$A$2:$B$356,2,0)</f>
        <v>44772-0D470</v>
      </c>
    </row>
    <row r="312" spans="1:2" hidden="1" x14ac:dyDescent="0.25">
      <c r="A312" s="13" t="s">
        <v>939</v>
      </c>
      <c r="B312" t="str">
        <f>VLOOKUP(A312,[4]Sheet1!$A$2:$B$356,2,0)</f>
        <v>44772-0D480</v>
      </c>
    </row>
    <row r="313" spans="1:2" hidden="1" x14ac:dyDescent="0.25">
      <c r="A313" s="13" t="s">
        <v>935</v>
      </c>
      <c r="B313" t="str">
        <f>VLOOKUP(A313,[4]Sheet1!$A$2:$B$356,2,0)</f>
        <v>44771-0D230</v>
      </c>
    </row>
    <row r="314" spans="1:2" hidden="1" x14ac:dyDescent="0.25">
      <c r="A314" s="13" t="s">
        <v>947</v>
      </c>
      <c r="B314" t="str">
        <f>VLOOKUP(A314,[4]Sheet1!$A$2:$B$356,2,0)</f>
        <v>44771-0D220</v>
      </c>
    </row>
    <row r="315" spans="1:2" hidden="1" x14ac:dyDescent="0.25">
      <c r="A315" s="13" t="s">
        <v>944</v>
      </c>
      <c r="B315" t="str">
        <f>VLOOKUP(A315,[4]Sheet1!$A$2:$B$356,2,0)</f>
        <v>17342-0Y090</v>
      </c>
    </row>
    <row r="316" spans="1:2" hidden="1" x14ac:dyDescent="0.25">
      <c r="A316" s="13" t="s">
        <v>919</v>
      </c>
      <c r="B316" t="str">
        <f>VLOOKUP(A316,[4]Sheet1!$A$2:$B$356,2,0)</f>
        <v>44772-0D460</v>
      </c>
    </row>
    <row r="317" spans="1:2" hidden="1" x14ac:dyDescent="0.25">
      <c r="A317" s="13" t="s">
        <v>943</v>
      </c>
      <c r="B317" t="str">
        <f>VLOOKUP(A317,[4]Sheet1!$A$2:$B$356,2,0)</f>
        <v>44770-0D170</v>
      </c>
    </row>
    <row r="318" spans="1:2" hidden="1" x14ac:dyDescent="0.25">
      <c r="A318" s="13" t="s">
        <v>937</v>
      </c>
      <c r="B318" t="str">
        <f>VLOOKUP(A318,[4]Sheet1!$A$2:$B$356,2,0)</f>
        <v>44770-0D180</v>
      </c>
    </row>
    <row r="319" spans="1:2" hidden="1" x14ac:dyDescent="0.25">
      <c r="A319" s="13" t="s">
        <v>940</v>
      </c>
      <c r="B319" t="str">
        <f>VLOOKUP(A319,[4]Sheet1!$A$2:$B$356,2,0)</f>
        <v>12262-0Y130</v>
      </c>
    </row>
    <row r="320" spans="1:2" hidden="1" x14ac:dyDescent="0.25">
      <c r="A320" s="13" t="s">
        <v>1087</v>
      </c>
      <c r="B320" t="str">
        <f>VLOOKUP(A320,[4]Sheet1!$A$2:$B$356,2,0)</f>
        <v>16571-0Y290</v>
      </c>
    </row>
    <row r="321" spans="1:2" hidden="1" x14ac:dyDescent="0.25">
      <c r="A321" s="13" t="s">
        <v>1087</v>
      </c>
      <c r="B321" t="str">
        <f>VLOOKUP(A321,[4]Sheet1!$A$2:$B$356,2,0)</f>
        <v>16571-0Y290</v>
      </c>
    </row>
    <row r="322" spans="1:2" hidden="1" x14ac:dyDescent="0.25">
      <c r="A322" s="13" t="s">
        <v>1086</v>
      </c>
      <c r="B322" t="str">
        <f>VLOOKUP(A322,[4]Sheet1!$A$2:$B$356,2,0)</f>
        <v>23826-0Y340</v>
      </c>
    </row>
    <row r="323" spans="1:2" hidden="1" x14ac:dyDescent="0.25">
      <c r="A323" s="13" t="s">
        <v>1082</v>
      </c>
      <c r="B323" t="str">
        <f>VLOOKUP(A323,[4]Sheet1!$A$2:$B$356,2,0)</f>
        <v>23827-0Y270</v>
      </c>
    </row>
    <row r="324" spans="1:2" hidden="1" x14ac:dyDescent="0.25">
      <c r="A324" s="13" t="s">
        <v>1090</v>
      </c>
      <c r="B324" t="str">
        <f>VLOOKUP(A324,[4]Sheet1!$A$2:$B$356,2,0)</f>
        <v>23273-0L132-A(1)</v>
      </c>
    </row>
    <row r="325" spans="1:2" hidden="1" x14ac:dyDescent="0.25">
      <c r="A325" s="13" t="s">
        <v>1090</v>
      </c>
      <c r="B325" t="str">
        <f>VLOOKUP(A325,[4]Sheet1!$A$2:$B$356,2,0)</f>
        <v>23273-0L132-A(1)</v>
      </c>
    </row>
    <row r="326" spans="1:2" hidden="1" x14ac:dyDescent="0.25">
      <c r="A326" s="13" t="s">
        <v>1083</v>
      </c>
      <c r="B326" t="str">
        <f>VLOOKUP(A326,[4]Sheet1!$A$2:$B$356,2,0)</f>
        <v>23273-0L132-A(2)</v>
      </c>
    </row>
    <row r="327" spans="1:2" hidden="1" x14ac:dyDescent="0.25">
      <c r="A327" s="13" t="s">
        <v>1083</v>
      </c>
      <c r="B327" t="str">
        <f>VLOOKUP(A327,[4]Sheet1!$A$2:$B$356,2,0)</f>
        <v>23273-0L132-A(2)</v>
      </c>
    </row>
    <row r="328" spans="1:2" hidden="1" x14ac:dyDescent="0.25">
      <c r="A328" s="13" t="s">
        <v>1084</v>
      </c>
      <c r="B328" t="str">
        <f>VLOOKUP(A328,[4]Sheet1!$A$2:$B$356,2,0)</f>
        <v>77259-KK010</v>
      </c>
    </row>
    <row r="329" spans="1:2" hidden="1" x14ac:dyDescent="0.25">
      <c r="A329" s="13" t="s">
        <v>1091</v>
      </c>
      <c r="B329" t="str">
        <f>VLOOKUP(A329,[4]Sheet1!$A$2:$B$356,2,0)</f>
        <v>23274-0L071</v>
      </c>
    </row>
    <row r="330" spans="1:2" hidden="1" x14ac:dyDescent="0.25">
      <c r="A330" s="13" t="s">
        <v>1091</v>
      </c>
      <c r="B330" t="str">
        <f>VLOOKUP(A330,[4]Sheet1!$A$2:$B$356,2,0)</f>
        <v>23274-0L071</v>
      </c>
    </row>
    <row r="331" spans="1:2" hidden="1" x14ac:dyDescent="0.25">
      <c r="A331" s="13" t="s">
        <v>948</v>
      </c>
      <c r="B331" t="str">
        <f>VLOOKUP(A331,[4]Sheet1!$A$2:$B$356,2,0)</f>
        <v>23273-0L191 (1)</v>
      </c>
    </row>
    <row r="332" spans="1:2" hidden="1" x14ac:dyDescent="0.25">
      <c r="A332" s="13" t="s">
        <v>948</v>
      </c>
      <c r="B332" t="str">
        <f>VLOOKUP(A332,[4]Sheet1!$A$2:$B$356,2,0)</f>
        <v>23273-0L191 (1)</v>
      </c>
    </row>
    <row r="333" spans="1:2" hidden="1" x14ac:dyDescent="0.25">
      <c r="A333" s="13" t="s">
        <v>949</v>
      </c>
      <c r="B333" t="str">
        <f>VLOOKUP(A333,[4]Sheet1!$A$2:$B$356,2,0)</f>
        <v>23273-0L191 (2)</v>
      </c>
    </row>
    <row r="334" spans="1:2" hidden="1" x14ac:dyDescent="0.25">
      <c r="A334" s="13" t="s">
        <v>949</v>
      </c>
      <c r="B334" t="str">
        <f>VLOOKUP(A334,[4]Sheet1!$A$2:$B$356,2,0)</f>
        <v>23273-0L191 (2)</v>
      </c>
    </row>
    <row r="335" spans="1:2" hidden="1" x14ac:dyDescent="0.25">
      <c r="A335" s="13" t="s">
        <v>950</v>
      </c>
      <c r="B335" t="str">
        <f>VLOOKUP(A335,[4]Sheet1!$A$2:$B$356,2,0)</f>
        <v>23273-0L221 (1)</v>
      </c>
    </row>
    <row r="336" spans="1:2" hidden="1" x14ac:dyDescent="0.25">
      <c r="A336" s="13" t="s">
        <v>950</v>
      </c>
      <c r="B336" t="str">
        <f>VLOOKUP(A336,[4]Sheet1!$A$2:$B$356,2,0)</f>
        <v>23273-0L221 (1)</v>
      </c>
    </row>
    <row r="337" spans="1:2" hidden="1" x14ac:dyDescent="0.25">
      <c r="A337" s="13" t="s">
        <v>953</v>
      </c>
      <c r="B337" t="str">
        <f>VLOOKUP(A337,[4]Sheet1!$A$2:$B$356,2,0)</f>
        <v>23273-0L221 (2)</v>
      </c>
    </row>
    <row r="338" spans="1:2" hidden="1" x14ac:dyDescent="0.25">
      <c r="A338" s="13" t="s">
        <v>953</v>
      </c>
      <c r="B338" t="str">
        <f>VLOOKUP(A338,[4]Sheet1!$A$2:$B$356,2,0)</f>
        <v>23273-0L221 (2)</v>
      </c>
    </row>
    <row r="339" spans="1:2" hidden="1" x14ac:dyDescent="0.25">
      <c r="A339" s="13" t="s">
        <v>1022</v>
      </c>
      <c r="B339" t="str">
        <f>VLOOKUP(A339,[4]Sheet1!$A$2:$B$356,2,0)</f>
        <v>23271-0E041</v>
      </c>
    </row>
    <row r="340" spans="1:2" hidden="1" x14ac:dyDescent="0.25">
      <c r="A340" s="13" t="s">
        <v>998</v>
      </c>
      <c r="B340" t="str">
        <f>VLOOKUP(A340,[4]Sheet1!$A$2:$B$356,2,0)</f>
        <v>16282-VT060</v>
      </c>
    </row>
    <row r="341" spans="1:2" hidden="1" x14ac:dyDescent="0.25">
      <c r="A341" s="13" t="s">
        <v>1012</v>
      </c>
      <c r="B341" t="str">
        <f>VLOOKUP(A341,[4]Sheet1!$A$2:$B$356,2,0)</f>
        <v>16283-VT040</v>
      </c>
    </row>
    <row r="342" spans="1:2" hidden="1" x14ac:dyDescent="0.25">
      <c r="A342" s="13" t="s">
        <v>1013</v>
      </c>
      <c r="B342" t="str">
        <f>VLOOKUP(A342,[4]Sheet1!$A$2:$B$356,2,0)</f>
        <v>16571-VT020</v>
      </c>
    </row>
    <row r="343" spans="1:2" hidden="1" x14ac:dyDescent="0.25">
      <c r="A343" s="13" t="s">
        <v>964</v>
      </c>
      <c r="B343" t="str">
        <f>VLOOKUP(A343,[4]Sheet1!$A$2:$B$356,2,0)</f>
        <v>16574-VT020</v>
      </c>
    </row>
    <row r="344" spans="1:2" hidden="1" x14ac:dyDescent="0.25">
      <c r="A344" s="13" t="s">
        <v>990</v>
      </c>
      <c r="B344" t="str">
        <f>VLOOKUP(A344,[4]Sheet1!$A$2:$B$356,2,0)</f>
        <v>16571-VT040-B</v>
      </c>
    </row>
    <row r="345" spans="1:2" hidden="1" x14ac:dyDescent="0.25">
      <c r="A345" s="13" t="s">
        <v>982</v>
      </c>
      <c r="B345" t="str">
        <f>VLOOKUP(A345,[4]Sheet1!$A$2:$B$356,2,0)</f>
        <v>16572-VT020-B</v>
      </c>
    </row>
    <row r="346" spans="1:2" hidden="1" x14ac:dyDescent="0.25">
      <c r="A346" s="13" t="s">
        <v>975</v>
      </c>
      <c r="B346" t="str">
        <f>VLOOKUP(A346,[4]Sheet1!$A$2:$B$356,2,0)</f>
        <v>16572-VT040-A</v>
      </c>
    </row>
    <row r="347" spans="1:2" hidden="1" x14ac:dyDescent="0.25">
      <c r="A347" s="13" t="s">
        <v>983</v>
      </c>
      <c r="B347" t="str">
        <f>VLOOKUP(A347,[4]Sheet1!$A$2:$B$356,2,0)</f>
        <v>G9225-VT020</v>
      </c>
    </row>
    <row r="348" spans="1:2" hidden="1" x14ac:dyDescent="0.25">
      <c r="A348" s="13" t="s">
        <v>1045</v>
      </c>
      <c r="B348" t="str">
        <f>VLOOKUP(A348,[4]Sheet1!$A$2:$B$356,2,0)</f>
        <v>G9226-VT020-C</v>
      </c>
    </row>
    <row r="349" spans="1:2" hidden="1" x14ac:dyDescent="0.25">
      <c r="A349" s="13" t="s">
        <v>1015</v>
      </c>
      <c r="B349" t="str">
        <f>VLOOKUP(A349,[4]Sheet1!$A$2:$B$356,2,0)</f>
        <v>G9227-VT020-B</v>
      </c>
    </row>
    <row r="350" spans="1:2" hidden="1" x14ac:dyDescent="0.25">
      <c r="A350" s="13" t="s">
        <v>981</v>
      </c>
      <c r="B350" t="str">
        <f>VLOOKUP(A350,[4]Sheet1!$A$2:$B$356,2,0)</f>
        <v>G9228-VT020-B</v>
      </c>
    </row>
    <row r="351" spans="1:2" hidden="1" x14ac:dyDescent="0.25">
      <c r="A351" s="13" t="s">
        <v>1017</v>
      </c>
      <c r="B351" t="str">
        <f>VLOOKUP(A351,[4]Sheet1!$A$2:$B$356,2,0)</f>
        <v>G9229-VT020-A</v>
      </c>
    </row>
    <row r="352" spans="1:2" hidden="1" x14ac:dyDescent="0.25">
      <c r="A352" s="13" t="s">
        <v>1016</v>
      </c>
      <c r="B352" t="str">
        <f>VLOOKUP(A352,[4]Sheet1!$A$2:$B$356,2,0)</f>
        <v>G9229-VT020-A</v>
      </c>
    </row>
    <row r="353" spans="1:2" hidden="1" x14ac:dyDescent="0.25">
      <c r="A353" s="13" t="s">
        <v>1039</v>
      </c>
      <c r="B353" t="str">
        <f>VLOOKUP(A353,[4]Sheet1!$A$2:$B$356,2,0)</f>
        <v>44772-VT010</v>
      </c>
    </row>
    <row r="354" spans="1:2" hidden="1" x14ac:dyDescent="0.25">
      <c r="A354" s="13" t="s">
        <v>1007</v>
      </c>
      <c r="B354" t="str">
        <f>VLOOKUP(A354,[4]Sheet1!$A$2:$B$356,2,0)</f>
        <v>44774-VT010</v>
      </c>
    </row>
    <row r="355" spans="1:2" hidden="1" x14ac:dyDescent="0.25">
      <c r="A355" s="13" t="s">
        <v>1014</v>
      </c>
      <c r="B355" t="str">
        <f>VLOOKUP(A355,[4]Sheet1!$A$2:$B$356,2,0)</f>
        <v>44774-VT020</v>
      </c>
    </row>
    <row r="356" spans="1:2" hidden="1" x14ac:dyDescent="0.25">
      <c r="A356" s="13" t="s">
        <v>1040</v>
      </c>
      <c r="B356" t="str">
        <f>VLOOKUP(A356,[4]Sheet1!$A$2:$B$356,2,0)</f>
        <v>G1271-907WL</v>
      </c>
    </row>
    <row r="357" spans="1:2" hidden="1" x14ac:dyDescent="0.25">
      <c r="A357" s="13" t="s">
        <v>1192</v>
      </c>
      <c r="B357" t="str">
        <f>VLOOKUP(A357,[4]Sheet1!$A$2:$B$356,2,0)</f>
        <v>G1272-907WL</v>
      </c>
    </row>
    <row r="358" spans="1:2" hidden="1" x14ac:dyDescent="0.25">
      <c r="A358" s="13" t="s">
        <v>970</v>
      </c>
      <c r="B358" t="str">
        <f>VLOOKUP(A358,[4]Sheet1!$A$2:$B$356,2,0)</f>
        <v>12261-BZ310</v>
      </c>
    </row>
    <row r="359" spans="1:2" hidden="1" x14ac:dyDescent="0.25">
      <c r="A359" s="13" t="s">
        <v>963</v>
      </c>
      <c r="B359" t="str">
        <f>VLOOKUP(A359,[4]Sheet1!$A$2:$B$356,2,0)</f>
        <v>16572-BZ460-H</v>
      </c>
    </row>
    <row r="360" spans="1:2" hidden="1" x14ac:dyDescent="0.25">
      <c r="A360" s="13" t="s">
        <v>1028</v>
      </c>
      <c r="B360" t="str">
        <f>VLOOKUP(A360,[4]Sheet1!$A$2:$B$356,2,0)</f>
        <v>16571-BZ520-H</v>
      </c>
    </row>
    <row r="361" spans="1:2" hidden="1" x14ac:dyDescent="0.25">
      <c r="A361" s="13" t="s">
        <v>969</v>
      </c>
      <c r="B361" t="str">
        <f>VLOOKUP(A361,[4]Sheet1!$A$2:$B$356,2,0)</f>
        <v>31432-D03BL-1</v>
      </c>
    </row>
    <row r="362" spans="1:2" hidden="1" x14ac:dyDescent="0.25">
      <c r="A362" s="13" t="s">
        <v>1201</v>
      </c>
      <c r="B362" t="str">
        <f>VLOOKUP(A362,[4]Sheet1!$A$2:$B$356,2,0)</f>
        <v>12261-BZ320-H</v>
      </c>
    </row>
    <row r="363" spans="1:2" hidden="1" x14ac:dyDescent="0.25">
      <c r="A363" s="13" t="s">
        <v>1203</v>
      </c>
      <c r="B363" t="str">
        <f>VLOOKUP(A363,[4]Sheet1!$A$2:$B$356,2,0)</f>
        <v>12262-BZ230-H</v>
      </c>
    </row>
    <row r="364" spans="1:2" hidden="1" x14ac:dyDescent="0.25">
      <c r="A364" s="13" t="s">
        <v>1205</v>
      </c>
      <c r="B364" t="str">
        <f>VLOOKUP(A364,[4]Sheet1!$A$2:$B$356,2,0)</f>
        <v>16572-BZ490</v>
      </c>
    </row>
    <row r="365" spans="1:2" hidden="1" x14ac:dyDescent="0.25">
      <c r="A365" s="13" t="s">
        <v>1204</v>
      </c>
      <c r="B365" t="str">
        <f>VLOOKUP(A365,[4]Sheet1!$A$2:$B$356,2,0)</f>
        <v>16571-BZ560-H</v>
      </c>
    </row>
  </sheetData>
  <autoFilter ref="A1:B365" xr:uid="{66667CAF-8B77-4AD0-9300-639FB445018E}">
    <filterColumn colId="1">
      <filters>
        <filter val="0"/>
        <filter val="#N/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5092-2587-4744-938E-F868CFFE87FE}">
  <dimension ref="A1:A41"/>
  <sheetViews>
    <sheetView workbookViewId="0">
      <selection activeCell="F12" sqref="F12"/>
    </sheetView>
  </sheetViews>
  <sheetFormatPr defaultRowHeight="13.2" x14ac:dyDescent="0.25"/>
  <sheetData>
    <row r="1" spans="1:1" x14ac:dyDescent="0.25">
      <c r="A1" t="s">
        <v>1318</v>
      </c>
    </row>
    <row r="2" spans="1:1" x14ac:dyDescent="0.25">
      <c r="A2" t="s">
        <v>1009</v>
      </c>
    </row>
    <row r="3" spans="1:1" x14ac:dyDescent="0.25">
      <c r="A3" t="s">
        <v>1104</v>
      </c>
    </row>
    <row r="4" spans="1:1" x14ac:dyDescent="0.25">
      <c r="A4" t="s">
        <v>1104</v>
      </c>
    </row>
    <row r="5" spans="1:1" x14ac:dyDescent="0.25">
      <c r="A5" t="s">
        <v>957</v>
      </c>
    </row>
    <row r="6" spans="1:1" x14ac:dyDescent="0.25">
      <c r="A6" t="s">
        <v>936</v>
      </c>
    </row>
    <row r="7" spans="1:1" x14ac:dyDescent="0.25">
      <c r="A7" t="s">
        <v>974</v>
      </c>
    </row>
    <row r="8" spans="1:1" x14ac:dyDescent="0.25">
      <c r="A8" t="s">
        <v>974</v>
      </c>
    </row>
    <row r="9" spans="1:1" x14ac:dyDescent="0.25">
      <c r="A9" t="s">
        <v>974</v>
      </c>
    </row>
    <row r="10" spans="1:1" x14ac:dyDescent="0.25">
      <c r="A10" t="s">
        <v>974</v>
      </c>
    </row>
    <row r="11" spans="1:1" x14ac:dyDescent="0.25">
      <c r="A11" t="s">
        <v>988</v>
      </c>
    </row>
    <row r="12" spans="1:1" x14ac:dyDescent="0.25">
      <c r="A12" t="s">
        <v>987</v>
      </c>
    </row>
    <row r="13" spans="1:1" x14ac:dyDescent="0.25">
      <c r="A13" t="s">
        <v>997</v>
      </c>
    </row>
    <row r="14" spans="1:1" x14ac:dyDescent="0.25">
      <c r="A14" t="s">
        <v>989</v>
      </c>
    </row>
    <row r="15" spans="1:1" x14ac:dyDescent="0.25">
      <c r="A15" t="s">
        <v>1001</v>
      </c>
    </row>
    <row r="17" spans="1:1" x14ac:dyDescent="0.25">
      <c r="A17" t="s">
        <v>1341</v>
      </c>
    </row>
    <row r="18" spans="1:1" x14ac:dyDescent="0.25">
      <c r="A18" t="s">
        <v>1319</v>
      </c>
    </row>
    <row r="19" spans="1:1" x14ac:dyDescent="0.25">
      <c r="A19" t="s">
        <v>1320</v>
      </c>
    </row>
    <row r="20" spans="1:1" x14ac:dyDescent="0.25">
      <c r="A20" t="s">
        <v>1321</v>
      </c>
    </row>
    <row r="21" spans="1:1" x14ac:dyDescent="0.25">
      <c r="A21" t="s">
        <v>1322</v>
      </c>
    </row>
    <row r="22" spans="1:1" x14ac:dyDescent="0.25">
      <c r="A22" t="s">
        <v>1009</v>
      </c>
    </row>
    <row r="23" spans="1:1" x14ac:dyDescent="0.25">
      <c r="A23" t="s">
        <v>1323</v>
      </c>
    </row>
    <row r="24" spans="1:1" x14ac:dyDescent="0.25">
      <c r="A24" t="s">
        <v>1324</v>
      </c>
    </row>
    <row r="25" spans="1:1" x14ac:dyDescent="0.25">
      <c r="A25" t="s">
        <v>1325</v>
      </c>
    </row>
    <row r="26" spans="1:1" x14ac:dyDescent="0.25">
      <c r="A26" t="s">
        <v>1326</v>
      </c>
    </row>
    <row r="27" spans="1:1" x14ac:dyDescent="0.25">
      <c r="A27" t="s">
        <v>1327</v>
      </c>
    </row>
    <row r="28" spans="1:1" x14ac:dyDescent="0.25">
      <c r="A28" t="s">
        <v>1328</v>
      </c>
    </row>
    <row r="29" spans="1:1" x14ac:dyDescent="0.25">
      <c r="A29" t="s">
        <v>1329</v>
      </c>
    </row>
    <row r="30" spans="1:1" x14ac:dyDescent="0.25">
      <c r="A30" t="s">
        <v>1330</v>
      </c>
    </row>
    <row r="31" spans="1:1" x14ac:dyDescent="0.25">
      <c r="A31" t="s">
        <v>1331</v>
      </c>
    </row>
    <row r="32" spans="1:1" x14ac:dyDescent="0.25">
      <c r="A32" t="s">
        <v>1329</v>
      </c>
    </row>
    <row r="33" spans="1:1" x14ac:dyDescent="0.25">
      <c r="A33" t="s">
        <v>1332</v>
      </c>
    </row>
    <row r="34" spans="1:1" x14ac:dyDescent="0.25">
      <c r="A34" t="s">
        <v>1333</v>
      </c>
    </row>
    <row r="35" spans="1:1" x14ac:dyDescent="0.25">
      <c r="A35" t="s">
        <v>1334</v>
      </c>
    </row>
    <row r="36" spans="1:1" x14ac:dyDescent="0.25">
      <c r="A36" t="s">
        <v>1335</v>
      </c>
    </row>
    <row r="37" spans="1:1" x14ac:dyDescent="0.25">
      <c r="A37" t="s">
        <v>1336</v>
      </c>
    </row>
    <row r="38" spans="1:1" x14ac:dyDescent="0.25">
      <c r="A38" t="s">
        <v>1337</v>
      </c>
    </row>
    <row r="39" spans="1:1" x14ac:dyDescent="0.25">
      <c r="A39" t="s">
        <v>1338</v>
      </c>
    </row>
    <row r="40" spans="1:1" x14ac:dyDescent="0.25">
      <c r="A40" t="s">
        <v>1339</v>
      </c>
    </row>
    <row r="41" spans="1:1" x14ac:dyDescent="0.25">
      <c r="A41" t="s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Adriyant Helmi Prasetyo</cp:lastModifiedBy>
  <cp:revision>1</cp:revision>
  <cp:lastPrinted>2026-06-29T08:33:47Z</cp:lastPrinted>
  <dcterms:created xsi:type="dcterms:W3CDTF">2025-06-10T08:31:28Z</dcterms:created>
  <dcterms:modified xsi:type="dcterms:W3CDTF">2026-08-03T06:09:02Z</dcterms:modified>
</cp:coreProperties>
</file>